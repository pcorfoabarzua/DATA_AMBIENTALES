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D8C1DCA4-151E-4E21-B089-E87B1A2F59F0}" xr6:coauthVersionLast="34" xr6:coauthVersionMax="34" xr10:uidLastSave="{00000000-0000-0000-0000-000000000000}"/>
  <bookViews>
    <workbookView xWindow="0" yWindow="0" windowWidth="22260" windowHeight="12650" xr2:uid="{00000000-000D-0000-FFFF-FFFF00000000}"/>
  </bookViews>
  <sheets>
    <sheet name="2020" sheetId="1" r:id="rId1"/>
  </sheets>
  <definedNames>
    <definedName name="_xlnm._FilterDatabase" localSheetId="0" hidden="1">'2020'!$A$16:$W$186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8" i="1" l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7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3" i="1"/>
  <c r="B43" i="1"/>
  <c r="C43" i="1"/>
  <c r="D43" i="1"/>
  <c r="A44" i="1"/>
  <c r="B44" i="1"/>
  <c r="C44" i="1"/>
  <c r="D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D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A153" i="1"/>
  <c r="B153" i="1"/>
  <c r="C153" i="1"/>
  <c r="D153" i="1"/>
  <c r="A154" i="1"/>
  <c r="B154" i="1"/>
  <c r="C154" i="1"/>
  <c r="D154" i="1"/>
  <c r="A155" i="1"/>
  <c r="B155" i="1"/>
  <c r="C155" i="1"/>
  <c r="D155" i="1"/>
  <c r="A156" i="1"/>
  <c r="B156" i="1"/>
  <c r="C156" i="1"/>
  <c r="D156" i="1"/>
  <c r="A157" i="1"/>
  <c r="B157" i="1"/>
  <c r="C157" i="1"/>
  <c r="D157" i="1"/>
  <c r="A158" i="1"/>
  <c r="B158" i="1"/>
  <c r="C158" i="1"/>
  <c r="D158" i="1"/>
  <c r="A159" i="1"/>
  <c r="B159" i="1"/>
  <c r="C159" i="1"/>
  <c r="D159" i="1"/>
  <c r="A160" i="1"/>
  <c r="B160" i="1"/>
  <c r="C160" i="1"/>
  <c r="D160" i="1"/>
  <c r="A161" i="1"/>
  <c r="B161" i="1"/>
  <c r="C161" i="1"/>
  <c r="D161" i="1"/>
  <c r="A162" i="1"/>
  <c r="B162" i="1"/>
  <c r="C162" i="1"/>
  <c r="D162" i="1"/>
  <c r="A163" i="1"/>
  <c r="B163" i="1"/>
  <c r="C163" i="1"/>
  <c r="D163" i="1"/>
  <c r="A164" i="1"/>
  <c r="B164" i="1"/>
  <c r="C164" i="1"/>
  <c r="D164" i="1"/>
  <c r="A165" i="1"/>
  <c r="B165" i="1"/>
  <c r="C165" i="1"/>
  <c r="D165" i="1"/>
  <c r="A166" i="1"/>
  <c r="B166" i="1"/>
  <c r="C166" i="1"/>
  <c r="D166" i="1"/>
  <c r="A167" i="1"/>
  <c r="B167" i="1"/>
  <c r="C167" i="1"/>
  <c r="D167" i="1"/>
  <c r="A168" i="1"/>
  <c r="B168" i="1"/>
  <c r="C168" i="1"/>
  <c r="D168" i="1"/>
  <c r="A169" i="1"/>
  <c r="B169" i="1"/>
  <c r="C169" i="1"/>
  <c r="D169" i="1"/>
  <c r="A170" i="1"/>
  <c r="B170" i="1"/>
  <c r="C170" i="1"/>
  <c r="D170" i="1"/>
  <c r="A171" i="1"/>
  <c r="B171" i="1"/>
  <c r="C171" i="1"/>
  <c r="D171" i="1"/>
  <c r="A172" i="1"/>
  <c r="B172" i="1"/>
  <c r="C172" i="1"/>
  <c r="D172" i="1"/>
  <c r="A173" i="1"/>
  <c r="B173" i="1"/>
  <c r="C173" i="1"/>
  <c r="D173" i="1"/>
  <c r="A174" i="1"/>
  <c r="B174" i="1"/>
  <c r="C174" i="1"/>
  <c r="D174" i="1"/>
  <c r="A175" i="1"/>
  <c r="B175" i="1"/>
  <c r="C175" i="1"/>
  <c r="D175" i="1"/>
  <c r="A176" i="1"/>
  <c r="B176" i="1"/>
  <c r="C176" i="1"/>
  <c r="D176" i="1"/>
  <c r="A177" i="1"/>
  <c r="B177" i="1"/>
  <c r="C177" i="1"/>
  <c r="D177" i="1"/>
  <c r="A178" i="1"/>
  <c r="B178" i="1"/>
  <c r="C178" i="1"/>
  <c r="D178" i="1"/>
  <c r="A179" i="1"/>
  <c r="B179" i="1"/>
  <c r="C179" i="1"/>
  <c r="D179" i="1"/>
  <c r="A180" i="1"/>
  <c r="B180" i="1"/>
  <c r="C180" i="1"/>
  <c r="D180" i="1"/>
  <c r="A181" i="1"/>
  <c r="B181" i="1"/>
  <c r="C181" i="1"/>
  <c r="D181" i="1"/>
  <c r="A182" i="1"/>
  <c r="B182" i="1"/>
  <c r="C182" i="1"/>
  <c r="D182" i="1"/>
  <c r="A183" i="1"/>
  <c r="B183" i="1"/>
  <c r="C183" i="1"/>
  <c r="D183" i="1"/>
  <c r="A184" i="1"/>
  <c r="B184" i="1"/>
  <c r="C184" i="1"/>
  <c r="D184" i="1"/>
  <c r="A185" i="1"/>
  <c r="B185" i="1"/>
  <c r="C185" i="1"/>
  <c r="D185" i="1"/>
  <c r="A186" i="1"/>
  <c r="B186" i="1"/>
  <c r="C186" i="1"/>
  <c r="D186" i="1"/>
  <c r="D17" i="1"/>
  <c r="C17" i="1"/>
  <c r="B17" i="1"/>
  <c r="A17" i="1"/>
</calcChain>
</file>

<file path=xl/sharedStrings.xml><?xml version="1.0" encoding="utf-8"?>
<sst xmlns="http://schemas.openxmlformats.org/spreadsheetml/2006/main" count="791" uniqueCount="410">
  <si>
    <t>Nombre del Proyecto: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</si>
  <si>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</si>
  <si>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</si>
  <si>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</si>
  <si>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</si>
  <si>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</si>
  <si>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</si>
  <si>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</si>
  <si>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</si>
  <si>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Región de Atacama, Región de Coquimbo, Región del Bío-Bío, Región de Los Lagos, Región de los Ríos, Región de Aysen del General Carlos Ibañez del Campo, Región de Magallanes.</t>
  </si>
  <si>
    <t>Variables:</t>
  </si>
  <si>
    <t>Ph, Temperatura (°C), Redox transformado EHNHE (mV), Sulfuros (µM), Materia orgánica total (%),  arena(%), fango(%), grava(%), tamaño medio (Φ) y selección (Φ).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</si>
  <si>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</si>
  <si>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</si>
  <si>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</si>
  <si>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</si>
  <si>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 según Resolucion Exenta  3612-09. MINISTERIO DE ECONOMÍA, FOMENTO Y RECONSTRUCCIÓN; SUBSECRETARÍA DE PESCA</t>
  </si>
  <si>
    <t>Observaciones</t>
  </si>
  <si>
    <t>Un total de 170 estaciones divididas en 22 zonas a lo largo del país desde la Región de Atacama hasta la Región de Magallanes</t>
  </si>
  <si>
    <t>NOMB_PROY</t>
  </si>
  <si>
    <t>ETAP_PROY</t>
  </si>
  <si>
    <t>JEFE_PROY</t>
  </si>
  <si>
    <t>INST_PROY</t>
  </si>
  <si>
    <t>CAMPAÑA</t>
  </si>
  <si>
    <t>ZONA</t>
  </si>
  <si>
    <t>ESTACION</t>
  </si>
  <si>
    <t xml:space="preserve">Latitud S                </t>
  </si>
  <si>
    <t xml:space="preserve">Longitud W </t>
  </si>
  <si>
    <t>pH</t>
  </si>
  <si>
    <t>(ds)</t>
  </si>
  <si>
    <t>Temperatura (°C)</t>
  </si>
  <si>
    <t>Redox EHNHE (mV)</t>
  </si>
  <si>
    <t xml:space="preserve">Sulfuros (µM)   </t>
  </si>
  <si>
    <t>Materia orgánica total (%)</t>
  </si>
  <si>
    <t>Disco Secchi (m)</t>
  </si>
  <si>
    <t xml:space="preserve">Temperatura superficial (°C) </t>
  </si>
  <si>
    <t>Fecha</t>
  </si>
  <si>
    <t>Hora Muestreo</t>
  </si>
  <si>
    <t>Estacion</t>
  </si>
  <si>
    <t>ESTUDIO SEGUIMIENTO DESEMPEÑO AMBIENTAL ACUICULTURA EN CHILE Y SU EFECTO EN LOS ECOSISTEMAS DE EMPLAZAMIENTO 2020-2021</t>
  </si>
  <si>
    <t>Campaña_Inv_2020.Proy.SeguimientoAmbiental</t>
  </si>
  <si>
    <t>Estuario</t>
  </si>
  <si>
    <t>41°26'14,9''</t>
  </si>
  <si>
    <t>72°17'47,9''</t>
  </si>
  <si>
    <t>41°28'07,3''</t>
  </si>
  <si>
    <t>72°18'43,5''</t>
  </si>
  <si>
    <t>41°29'45,4''</t>
  </si>
  <si>
    <t>72°18'45,5''</t>
  </si>
  <si>
    <t>41°30'39,3''</t>
  </si>
  <si>
    <t>72°17'21,1''</t>
  </si>
  <si>
    <t>41°31'32,6''</t>
  </si>
  <si>
    <t>72°20'21,4''</t>
  </si>
  <si>
    <t>41°31'57,8''</t>
  </si>
  <si>
    <t>72°18'02,6''</t>
  </si>
  <si>
    <t>41°35'33,0''</t>
  </si>
  <si>
    <t>72°21'10,7''</t>
  </si>
  <si>
    <t>41°39'38,3''</t>
  </si>
  <si>
    <t>72°20'58,9''</t>
  </si>
  <si>
    <t>41°40'52,7''</t>
  </si>
  <si>
    <t>72°28'01,1''</t>
  </si>
  <si>
    <t>41°43'30,8''</t>
  </si>
  <si>
    <t>72°30'48,5''</t>
  </si>
  <si>
    <t>Reloncavi</t>
  </si>
  <si>
    <t>41°54'20,9''</t>
  </si>
  <si>
    <t>72°52'30,7''</t>
  </si>
  <si>
    <t>41°52'23,0''</t>
  </si>
  <si>
    <t>72°53'51,4''</t>
  </si>
  <si>
    <t>41°53'07,1''</t>
  </si>
  <si>
    <t>72°56'02,6''</t>
  </si>
  <si>
    <t>41°44'13,7''</t>
  </si>
  <si>
    <t>73°02'43,4''</t>
  </si>
  <si>
    <t>41°29'48,4''</t>
  </si>
  <si>
    <t>72°57'30,9''</t>
  </si>
  <si>
    <t>41°31'05,3''</t>
  </si>
  <si>
    <t>72°47'24,2''</t>
  </si>
  <si>
    <t>41°34'50,6''</t>
  </si>
  <si>
    <t>72°43'36,9''</t>
  </si>
  <si>
    <t>41°37'07,8''</t>
  </si>
  <si>
    <t>72°41'52,2''</t>
  </si>
  <si>
    <t>41°37'51,5''</t>
  </si>
  <si>
    <t>72°40'23,2''</t>
  </si>
  <si>
    <t>41°49'43,9''</t>
  </si>
  <si>
    <t>72°47'18,2''</t>
  </si>
  <si>
    <t>Calbuco</t>
  </si>
  <si>
    <t>41°44'42,2''</t>
  </si>
  <si>
    <t>73°06'10,3''</t>
  </si>
  <si>
    <t>41°46'30,1''</t>
  </si>
  <si>
    <t>73°05'05,2''</t>
  </si>
  <si>
    <t>41°43'14,7''</t>
  </si>
  <si>
    <t>73°09'33,2''</t>
  </si>
  <si>
    <t>41°48'22,6''</t>
  </si>
  <si>
    <t>73°10'18,3''</t>
  </si>
  <si>
    <t>41°47'05,8''</t>
  </si>
  <si>
    <t>41°50'16,4''</t>
  </si>
  <si>
    <t>73°04'47,2''</t>
  </si>
  <si>
    <t>41°49'59,8''</t>
  </si>
  <si>
    <t>73°06'29,1''</t>
  </si>
  <si>
    <t>41°50'19,0''</t>
  </si>
  <si>
    <t>73°08'22,5''</t>
  </si>
  <si>
    <t>Chacao</t>
  </si>
  <si>
    <t>41°56'59,3''</t>
  </si>
  <si>
    <t>73°31'34,3''</t>
  </si>
  <si>
    <t>41°54'15,1''</t>
  </si>
  <si>
    <t>73°29'06,8''</t>
  </si>
  <si>
    <t>41°52'17,3''</t>
  </si>
  <si>
    <t>73°31'07,9''</t>
  </si>
  <si>
    <t>41°51'15,7''</t>
  </si>
  <si>
    <t>73°28'51,2''</t>
  </si>
  <si>
    <t>Butachauques</t>
  </si>
  <si>
    <t>42°19'17,6''</t>
  </si>
  <si>
    <t>73°15'19,1''</t>
  </si>
  <si>
    <t>42°17'02,6''</t>
  </si>
  <si>
    <t>73°15'06,7''</t>
  </si>
  <si>
    <t>42°15'56,3''</t>
  </si>
  <si>
    <t>73°09'36,2''</t>
  </si>
  <si>
    <t>42°16'45,3''</t>
  </si>
  <si>
    <t>73°20'49,7''</t>
  </si>
  <si>
    <t>42°12'24,4''</t>
  </si>
  <si>
    <t>73°23'58,0''</t>
  </si>
  <si>
    <t>42°10'21,7''</t>
  </si>
  <si>
    <t>73°26'09,5''</t>
  </si>
  <si>
    <t>42°09'29,5''</t>
  </si>
  <si>
    <t>73°28'04,6''</t>
  </si>
  <si>
    <t>Chaulinec</t>
  </si>
  <si>
    <t>42°36'22,9''</t>
  </si>
  <si>
    <t>73°15'26,5''</t>
  </si>
  <si>
    <t>42°34'22,1''</t>
  </si>
  <si>
    <t>73°13'53,2''</t>
  </si>
  <si>
    <t>42°28'03,3''</t>
  </si>
  <si>
    <t>73°22'56,7''</t>
  </si>
  <si>
    <t>42°24'29,1''</t>
  </si>
  <si>
    <t>73°19'21,4''</t>
  </si>
  <si>
    <t>42°26'34,7''</t>
  </si>
  <si>
    <t>73°30'44,2''</t>
  </si>
  <si>
    <t>Tenaun</t>
  </si>
  <si>
    <t>42°22'46,5''</t>
  </si>
  <si>
    <t>73°35'59,1''</t>
  </si>
  <si>
    <t>42°23'07,4''</t>
  </si>
  <si>
    <t>73°37'44,8''</t>
  </si>
  <si>
    <t>42°22'15,1''</t>
  </si>
  <si>
    <t>73°37'31,1''</t>
  </si>
  <si>
    <t>42°21'39,1''</t>
  </si>
  <si>
    <t>73°34'41,7''</t>
  </si>
  <si>
    <t>42°20'26,0''</t>
  </si>
  <si>
    <t>73°32'00,9''</t>
  </si>
  <si>
    <t>Chiloe central</t>
  </si>
  <si>
    <t>42°30'46,9''</t>
  </si>
  <si>
    <t>73°45'15,6''</t>
  </si>
  <si>
    <t>42°32'59,2''</t>
  </si>
  <si>
    <t>73°40'15,8''</t>
  </si>
  <si>
    <t>42°32'09,3''</t>
  </si>
  <si>
    <t>73°36'13,2''</t>
  </si>
  <si>
    <t>42°30'29,3''</t>
  </si>
  <si>
    <t>73°36'11,3''</t>
  </si>
  <si>
    <t>42°28'33,3''</t>
  </si>
  <si>
    <t>73°32'41,1''</t>
  </si>
  <si>
    <t>42°30'59,3''</t>
  </si>
  <si>
    <t>73°28'21,5''</t>
  </si>
  <si>
    <t>42°42'13,5''</t>
  </si>
  <si>
    <t>73°37'38,2''</t>
  </si>
  <si>
    <t>42°36'54,6''</t>
  </si>
  <si>
    <t>73°27'10,2''</t>
  </si>
  <si>
    <t>Desertores</t>
  </si>
  <si>
    <t>42°47'03,0''</t>
  </si>
  <si>
    <t>72°56'35,9''</t>
  </si>
  <si>
    <t>42°47'56,1''</t>
  </si>
  <si>
    <t>72°57'23,7''</t>
  </si>
  <si>
    <t>42°45'36,0''</t>
  </si>
  <si>
    <t>72°59'51,7''</t>
  </si>
  <si>
    <t>42°42'06,5''</t>
  </si>
  <si>
    <t>73°05'34,1''</t>
  </si>
  <si>
    <t>Quellon</t>
  </si>
  <si>
    <t>43°11'43,2''</t>
  </si>
  <si>
    <t>73°38'11,2''</t>
  </si>
  <si>
    <t>43°07'39,5''</t>
  </si>
  <si>
    <t>73°43'28,6''</t>
  </si>
  <si>
    <t>43°08'32,2''</t>
  </si>
  <si>
    <t>73°40'13,7''</t>
  </si>
  <si>
    <t>43°11'33,5''</t>
  </si>
  <si>
    <t>73°34'23,8''</t>
  </si>
  <si>
    <t>43°08'26,2''</t>
  </si>
  <si>
    <t>73°33'10,7''</t>
  </si>
  <si>
    <t>43°03'07,5''</t>
  </si>
  <si>
    <t>73°27'46,7''</t>
  </si>
  <si>
    <t>43°02'06,1''</t>
  </si>
  <si>
    <t>73°31'33,1''</t>
  </si>
  <si>
    <t>42°59'21,8''</t>
  </si>
  <si>
    <t>73°28'05,5''</t>
  </si>
  <si>
    <t>42°56'21,2''</t>
  </si>
  <si>
    <t>73°36'49,9''</t>
  </si>
  <si>
    <t>42°55'25,9''</t>
  </si>
  <si>
    <t>73°35'04,7''</t>
  </si>
  <si>
    <t>42°51'22,8''</t>
  </si>
  <si>
    <t>73°41'30,9''</t>
  </si>
  <si>
    <t>42°54'15,3''</t>
  </si>
  <si>
    <t>73°29'27,9''</t>
  </si>
  <si>
    <t>Hornopiren</t>
  </si>
  <si>
    <t>42°04'27,1''</t>
  </si>
  <si>
    <t>72°27'59,7''</t>
  </si>
  <si>
    <t>42°02'09,6''</t>
  </si>
  <si>
    <t>72°35'58,5''</t>
  </si>
  <si>
    <t>42°03'01,3''</t>
  </si>
  <si>
    <t>72°35'37,3''</t>
  </si>
  <si>
    <t>42°14'33,8''</t>
  </si>
  <si>
    <t>72°26'50,7''</t>
  </si>
  <si>
    <t>42°15'24,5''</t>
  </si>
  <si>
    <t>72°23'46,8''</t>
  </si>
  <si>
    <t>Ayacara</t>
  </si>
  <si>
    <t>42°18'53,1''</t>
  </si>
  <si>
    <t>72°47'21,9''</t>
  </si>
  <si>
    <t>42°24'34,1''</t>
  </si>
  <si>
    <t>72°43'07,0''</t>
  </si>
  <si>
    <t>42°34'09,7''</t>
  </si>
  <si>
    <t>72°31'39,7''</t>
  </si>
  <si>
    <t>42°31'17,9''</t>
  </si>
  <si>
    <t>72°41'40,8''</t>
  </si>
  <si>
    <t>42°37'30,6''</t>
  </si>
  <si>
    <t>72°51'15,4''</t>
  </si>
  <si>
    <t>42°42'32,8''</t>
  </si>
  <si>
    <t>72°50'58,9''</t>
  </si>
  <si>
    <t>Chaiten</t>
  </si>
  <si>
    <t>42°47'11,1''</t>
  </si>
  <si>
    <t>72°50'49,9''</t>
  </si>
  <si>
    <t>42°55'27,6''</t>
  </si>
  <si>
    <t>72°44'59,6''</t>
  </si>
  <si>
    <t>43°14'38,9''</t>
  </si>
  <si>
    <t>72°53'08,2''</t>
  </si>
  <si>
    <t>43°15'50,9''</t>
  </si>
  <si>
    <t>72°58'35,0''</t>
  </si>
  <si>
    <t>43°35'29,8''</t>
  </si>
  <si>
    <t>73°00'22,5''</t>
  </si>
  <si>
    <t>43°37'57,9''</t>
  </si>
  <si>
    <t>72°57'04,9''</t>
  </si>
  <si>
    <t>43°41'46,5''</t>
  </si>
  <si>
    <t>72°59'44,6''</t>
  </si>
  <si>
    <t>Guaitecas</t>
  </si>
  <si>
    <t>44°29'31,1''</t>
  </si>
  <si>
    <t>74°09'42,8''</t>
  </si>
  <si>
    <t>44°26'54,0''</t>
  </si>
  <si>
    <t>74°08'14,0''</t>
  </si>
  <si>
    <t>44°14'18,4''</t>
  </si>
  <si>
    <t>74°13'20,7''</t>
  </si>
  <si>
    <t>44°08'29,0''</t>
  </si>
  <si>
    <t>74°02'09,0''</t>
  </si>
  <si>
    <t>44°04'53,4''</t>
  </si>
  <si>
    <t>73°52'53,7''</t>
  </si>
  <si>
    <t>43°54'56,5''</t>
  </si>
  <si>
    <t>73°54'32,1''</t>
  </si>
  <si>
    <t>43°53'29,1''</t>
  </si>
  <si>
    <t>73°52'19,9''</t>
  </si>
  <si>
    <t>43°56'38,0''</t>
  </si>
  <si>
    <t>73°48'00,0''</t>
  </si>
  <si>
    <t>44°00'31,4''</t>
  </si>
  <si>
    <t>73°45'11,0''</t>
  </si>
  <si>
    <t>44°17'15,5''</t>
  </si>
  <si>
    <t>73°46'39,1''</t>
  </si>
  <si>
    <t>Moraleda</t>
  </si>
  <si>
    <t>45°11'31,2''</t>
  </si>
  <si>
    <t>73°58'40,6''</t>
  </si>
  <si>
    <t>45°09'57,9''</t>
  </si>
  <si>
    <t>74°08'33,4''</t>
  </si>
  <si>
    <t>45°08'01,8''</t>
  </si>
  <si>
    <t>74°15'20,1''</t>
  </si>
  <si>
    <t>44°41'45,4''</t>
  </si>
  <si>
    <t>73°52'57,1''</t>
  </si>
  <si>
    <t>44°39'35,6''</t>
  </si>
  <si>
    <t>73°52'52,9''</t>
  </si>
  <si>
    <t>44°36'08,6''</t>
  </si>
  <si>
    <t>74°00'25,9''</t>
  </si>
  <si>
    <t>44°33'08,8''</t>
  </si>
  <si>
    <t>74°06'50,1''</t>
  </si>
  <si>
    <t>44°08'30,9''</t>
  </si>
  <si>
    <t>73°35'01,0''</t>
  </si>
  <si>
    <t>43°44'30,9''</t>
  </si>
  <si>
    <t>73°00'56,5''</t>
  </si>
  <si>
    <t>44°02'04,1''</t>
  </si>
  <si>
    <t>73°12'05,2''</t>
  </si>
  <si>
    <t>44°22'48,0''</t>
  </si>
  <si>
    <t>73°04'31,7''</t>
  </si>
  <si>
    <t>45°01'49,0''</t>
  </si>
  <si>
    <t>73°27'02,0''</t>
  </si>
  <si>
    <t>Puyuhuapi</t>
  </si>
  <si>
    <t>44°31'39,8''</t>
  </si>
  <si>
    <t>72°41'17,0''</t>
  </si>
  <si>
    <t>44°39'55,1''</t>
  </si>
  <si>
    <t>72°50'20,8''</t>
  </si>
  <si>
    <t>44°42'09,3''</t>
  </si>
  <si>
    <t>72°48'07,1''</t>
  </si>
  <si>
    <t>44°49'37,8''</t>
  </si>
  <si>
    <t>72°57'57,3''</t>
  </si>
  <si>
    <t>44°54'41,9''</t>
  </si>
  <si>
    <t>73°08'11,9''</t>
  </si>
  <si>
    <t>Aysen</t>
  </si>
  <si>
    <t>45°26'39,7''</t>
  </si>
  <si>
    <t>73°00'33,3''</t>
  </si>
  <si>
    <t>45°19'53,0''</t>
  </si>
  <si>
    <t>73°22'36,0''</t>
  </si>
  <si>
    <t>45°24'21,9''</t>
  </si>
  <si>
    <t>73°32'25,0''</t>
  </si>
  <si>
    <t>45°37'34,9''</t>
  </si>
  <si>
    <t>73°35'50,9''</t>
  </si>
  <si>
    <t>45°45'08,5''</t>
  </si>
  <si>
    <t>73°36'55,3''</t>
  </si>
  <si>
    <t>45°57'17,6''</t>
  </si>
  <si>
    <t>73°36'19,7''</t>
  </si>
  <si>
    <t>46°01'34,6''</t>
  </si>
  <si>
    <t>73°39'17,0''</t>
  </si>
  <si>
    <t>46°13'29,4''</t>
  </si>
  <si>
    <t>73°43'45,5''</t>
  </si>
  <si>
    <t>46°05'57,7''</t>
  </si>
  <si>
    <t>73°52'02,9''</t>
  </si>
  <si>
    <t>46°01'07,9''</t>
  </si>
  <si>
    <t>73°56'45,7''</t>
  </si>
  <si>
    <t>45°44'29,7''</t>
  </si>
  <si>
    <t>74°04'23,3''</t>
  </si>
  <si>
    <t>45°41'37,5''</t>
  </si>
  <si>
    <t>74°17'04,6''</t>
  </si>
  <si>
    <t>45°33'51,4''</t>
  </si>
  <si>
    <t>74°13'10,2''</t>
  </si>
  <si>
    <t>45°23'56,0''</t>
  </si>
  <si>
    <t>74°15'21,0''</t>
  </si>
  <si>
    <t>45°16'59,5''</t>
  </si>
  <si>
    <t>73°43'50,5''</t>
  </si>
  <si>
    <t>Coquimbo</t>
  </si>
  <si>
    <t>30°08'39,9''</t>
  </si>
  <si>
    <t>71°22'56,3''</t>
  </si>
  <si>
    <t>30°11'21,0''</t>
  </si>
  <si>
    <t>71°25'25,0''</t>
  </si>
  <si>
    <t>30°10'46,7''</t>
  </si>
  <si>
    <t>71°26'17,5''</t>
  </si>
  <si>
    <t>30°14'55,9''</t>
  </si>
  <si>
    <t>71°29'25,2''</t>
  </si>
  <si>
    <t>30°16'20,2''</t>
  </si>
  <si>
    <t>71°30'32,0''</t>
  </si>
  <si>
    <t>30°16'12,8''</t>
  </si>
  <si>
    <t>71°31'38,8''</t>
  </si>
  <si>
    <t>30°16'37,0''</t>
  </si>
  <si>
    <t>71°33'06,7''</t>
  </si>
  <si>
    <t>Atacama</t>
  </si>
  <si>
    <t>27°06'25,2''</t>
  </si>
  <si>
    <t>70°51'53,6''</t>
  </si>
  <si>
    <t>27°07'05,4''</t>
  </si>
  <si>
    <t>70°51'40,1''</t>
  </si>
  <si>
    <t>27°06'57,6''</t>
  </si>
  <si>
    <t>70°52'23,1''</t>
  </si>
  <si>
    <t>27°07'40,8''</t>
  </si>
  <si>
    <t>70°52'30,3''</t>
  </si>
  <si>
    <t>27°07'30,7''</t>
  </si>
  <si>
    <t>70°52'59,8''</t>
  </si>
  <si>
    <t>27°07'56,6''</t>
  </si>
  <si>
    <t>70°53'32,6''</t>
  </si>
  <si>
    <t>Natales</t>
  </si>
  <si>
    <t>51°36'04,7''</t>
  </si>
  <si>
    <t>72°43'01,6''</t>
  </si>
  <si>
    <t>51°40'18,2''</t>
  </si>
  <si>
    <t>72°37'53,1''</t>
  </si>
  <si>
    <t>51°49'29,7''</t>
  </si>
  <si>
    <t>72°37'39,8''</t>
  </si>
  <si>
    <t>51°46'01,6''</t>
  </si>
  <si>
    <t>72°54'05,0''</t>
  </si>
  <si>
    <t>52°03'57,8''</t>
  </si>
  <si>
    <t>72°56'02,0''</t>
  </si>
  <si>
    <t>52°11'59,7''</t>
  </si>
  <si>
    <t>72°57'03,6''</t>
  </si>
  <si>
    <t>52°13'10,4''</t>
  </si>
  <si>
    <t>72°52'26,1''</t>
  </si>
  <si>
    <t>52°04'39,3''</t>
  </si>
  <si>
    <t>72°39'37,6''</t>
  </si>
  <si>
    <t>Bio-Bio</t>
  </si>
  <si>
    <t>37°09'59,6''</t>
  </si>
  <si>
    <t>73°30'41,5''</t>
  </si>
  <si>
    <t>37°13'43,6''</t>
  </si>
  <si>
    <t>73°21'25,3''</t>
  </si>
  <si>
    <t>37°13'41,8''</t>
  </si>
  <si>
    <t>73°19'32,2''</t>
  </si>
  <si>
    <t>37°10'00,1''</t>
  </si>
  <si>
    <t>73°12'13,8''</t>
  </si>
  <si>
    <t>37°09'16,3''</t>
  </si>
  <si>
    <t>73°11'40,2''</t>
  </si>
  <si>
    <t>37°06'38,2''</t>
  </si>
  <si>
    <t>73°09'29,6''</t>
  </si>
  <si>
    <t>37°04'11,4''</t>
  </si>
  <si>
    <t>73°09'56,2''</t>
  </si>
  <si>
    <t>37°02'43,4''</t>
  </si>
  <si>
    <t>73°08'51,0''</t>
  </si>
  <si>
    <t>Valdivia</t>
  </si>
  <si>
    <t>39°51'05,7''</t>
  </si>
  <si>
    <t>73°19'01,5''</t>
  </si>
  <si>
    <t>39°51'19,5''</t>
  </si>
  <si>
    <t>73°19'05,4''</t>
  </si>
  <si>
    <t>39°51'56,9''</t>
  </si>
  <si>
    <t>73°20'58,2''</t>
  </si>
  <si>
    <t>39°51'53,8''</t>
  </si>
  <si>
    <t>73°21'38,8''</t>
  </si>
  <si>
    <t>39°52'46,5''</t>
  </si>
  <si>
    <t>73°22'53,5''</t>
  </si>
  <si>
    <t>39°53'36,9''</t>
  </si>
  <si>
    <t xml:space="preserve">73°21'46,5'' </t>
  </si>
  <si>
    <t>39°53'35,9''</t>
  </si>
  <si>
    <t>73°22'19,4''</t>
  </si>
  <si>
    <t xml:space="preserve">39°55'47,5'' </t>
  </si>
  <si>
    <t>73°23'41,2''</t>
  </si>
  <si>
    <t>sd</t>
  </si>
  <si>
    <t>15.82</t>
  </si>
  <si>
    <t>14.71</t>
  </si>
  <si>
    <t>15.45</t>
  </si>
  <si>
    <t>15.65</t>
  </si>
  <si>
    <t>SIN DATO</t>
  </si>
  <si>
    <t>s/d</t>
  </si>
  <si>
    <t>Atacama (Caldera-Bahia Inglesa), Coquimbo (Tongoy), Bío-Bío, Valdivia, Seno Reloncaví, Estuario de Reloncavi, Calbuco, Chacao, Butachauques, Chaulinec, Tenaún; Chiloe Central, Desertores, Quellon, Hornopiren, Ayacara, Chaiten, Guaitecas, Moraleda, Puyuhuapi, Aysen, Puerto Natales.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</si>
</sst>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/mm/yyyy;@"/>
    <numFmt numFmtId="166" formatCode="\(0.00\)"/>
  </numFmts>
  <fonts count="10" x14ac:knownFonts="1">
    <font>
      <sz val="11"/>
      <color theme="1"/>
      <name val="Calibri"/>
      <family val="2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sz val="10"/>
      <name val="Arial Narrow"/>
      <family val="2"/>
    </font>
    <font>
      <b/>
      <i/>
      <sz val="10"/>
      <color theme="1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b/>
      <sz val="11"/>
      <color rgb="FF00B050"/>
      <name val="Calibri"/>
      <family val="2"/>
      <scheme val="minor"/>
    </font>
    <font>
      <sz val="10"/>
      <color rgb="FF0070C0"/>
      <name val="Arial Narrow"/>
      <family val="2"/>
    </font>
    <font>
      <b/>
      <sz val="11"/>
      <color rgb="FF00B050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3" fillId="0" borderId="0" xfId="0" applyFont="1" applyFill="1" applyBorder="1"/>
    <xf numFmtId="0" fontId="4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2" fontId="5" fillId="0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20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2" fontId="3" fillId="0" borderId="3" xfId="0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20" fontId="3" fillId="0" borderId="0" xfId="0" applyNumberFormat="1" applyFont="1" applyFill="1" applyBorder="1" applyAlignment="1">
      <alignment horizontal="center"/>
    </xf>
    <xf numFmtId="165" fontId="3" fillId="0" borderId="2" xfId="0" applyNumberFormat="1" applyFont="1" applyFill="1" applyBorder="1" applyAlignment="1">
      <alignment horizontal="center"/>
    </xf>
    <xf numFmtId="20" fontId="3" fillId="0" borderId="2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164" fontId="3" fillId="0" borderId="2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166" fontId="3" fillId="0" borderId="0" xfId="0" applyNumberFormat="1" applyFont="1" applyFill="1" applyBorder="1" applyAlignment="1">
      <alignment horizontal="left"/>
    </xf>
    <xf numFmtId="166" fontId="3" fillId="0" borderId="2" xfId="0" applyNumberFormat="1" applyFont="1" applyFill="1" applyBorder="1" applyAlignment="1">
      <alignment horizontal="left"/>
    </xf>
    <xf numFmtId="166" fontId="3" fillId="0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4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6"/>
  <sheetViews>
    <sheetView tabSelected="1" workbookViewId="0"/>
  </sheetViews>
  <sheetFormatPr baseColWidth="10" defaultColWidth="8.7265625" defaultRowHeight="14.5" x14ac:dyDescent="0.35"/>
  <cols>
    <col min="1" max="1" width="20.08984375" customWidth="1"/>
    <col min="2" max="2" width="13.36328125" customWidth="1"/>
    <col min="3" max="3" width="12" customWidth="1"/>
    <col min="4" max="4" width="16.7265625" customWidth="1"/>
    <col min="5" max="5" width="18" customWidth="1"/>
    <col min="6" max="6" width="11.1796875" customWidth="1"/>
    <col min="7" max="7" width="10.26953125" customWidth="1"/>
    <col min="8" max="9" width="10.54296875" customWidth="1"/>
    <col min="11" max="11" width="8.7265625" style="36"/>
    <col min="13" max="13" width="8.7265625" style="36"/>
    <col min="15" max="15" width="8.7265625" style="36"/>
    <col min="17" max="17" width="8.7265625" style="36"/>
    <col min="18" max="18" width="22.1796875" bestFit="1" customWidth="1"/>
    <col min="19" max="19" width="8.90625" customWidth="1"/>
  </cols>
  <sheetData>
    <row r="1" spans="1:23" x14ac:dyDescent="0.35">
      <c r="A1" s="1" t="s">
        <v>0</v>
      </c>
      <c r="B1" s="2" t="s">
        <v>39</v>
      </c>
    </row>
    <row r="2" spans="1:23" x14ac:dyDescent="0.35">
      <c r="A2" s="1" t="s">
        <v>1</v>
      </c>
      <c r="B2" s="3" t="s">
        <v>2</v>
      </c>
    </row>
    <row r="3" spans="1:23" x14ac:dyDescent="0.35">
      <c r="A3" s="1" t="s">
        <v>3</v>
      </c>
      <c r="B3" s="3" t="s">
        <v>4</v>
      </c>
    </row>
    <row r="4" spans="1:23" x14ac:dyDescent="0.35">
      <c r="A4" s="1" t="s">
        <v>5</v>
      </c>
      <c r="B4" s="3" t="s">
        <v>6</v>
      </c>
    </row>
    <row r="5" spans="1:23" x14ac:dyDescent="0.35">
      <c r="A5" s="1" t="s">
        <v>7</v>
      </c>
      <c r="B5" s="2" t="s">
        <v>409</v>
      </c>
    </row>
    <row r="6" spans="1:23" x14ac:dyDescent="0.35">
      <c r="A6" s="1" t="s">
        <v>8</v>
      </c>
      <c r="B6" s="2" t="s">
        <v>9</v>
      </c>
    </row>
    <row r="7" spans="1:23" x14ac:dyDescent="0.35">
      <c r="A7" s="1" t="s">
        <v>10</v>
      </c>
      <c r="B7" s="2" t="s">
        <v>11</v>
      </c>
    </row>
    <row r="8" spans="1:23" x14ac:dyDescent="0.35">
      <c r="A8" s="1" t="s">
        <v>12</v>
      </c>
      <c r="B8" s="4">
        <v>2020</v>
      </c>
    </row>
    <row r="9" spans="1:23" x14ac:dyDescent="0.35">
      <c r="A9" s="1" t="s">
        <v>13</v>
      </c>
      <c r="B9" s="2" t="s">
        <v>14</v>
      </c>
    </row>
    <row r="10" spans="1:23" x14ac:dyDescent="0.35">
      <c r="A10" s="5"/>
      <c r="B10" s="2" t="s">
        <v>15</v>
      </c>
    </row>
    <row r="11" spans="1:23" x14ac:dyDescent="0.35">
      <c r="A11" s="6"/>
      <c r="B11" s="2" t="s">
        <v>16</v>
      </c>
    </row>
    <row r="12" spans="1:23" x14ac:dyDescent="0.35">
      <c r="A12" s="1" t="s">
        <v>17</v>
      </c>
      <c r="B12" s="2" t="s">
        <v>18</v>
      </c>
    </row>
    <row r="16" spans="1:23" x14ac:dyDescent="0.35">
      <c r="A16" s="7" t="s">
        <v>19</v>
      </c>
      <c r="B16" s="7" t="s">
        <v>20</v>
      </c>
      <c r="C16" s="7" t="s">
        <v>21</v>
      </c>
      <c r="D16" s="7" t="s">
        <v>22</v>
      </c>
      <c r="E16" s="7" t="s">
        <v>23</v>
      </c>
      <c r="F16" s="7" t="s">
        <v>24</v>
      </c>
      <c r="G16" s="7" t="s">
        <v>25</v>
      </c>
      <c r="H16" s="8" t="s">
        <v>26</v>
      </c>
      <c r="I16" s="8" t="s">
        <v>27</v>
      </c>
      <c r="J16" s="7" t="s">
        <v>28</v>
      </c>
      <c r="K16" s="37" t="s">
        <v>29</v>
      </c>
      <c r="L16" s="9" t="s">
        <v>30</v>
      </c>
      <c r="M16" s="37" t="s">
        <v>29</v>
      </c>
      <c r="N16" s="9" t="s">
        <v>31</v>
      </c>
      <c r="O16" s="37" t="s">
        <v>29</v>
      </c>
      <c r="P16" s="9" t="s">
        <v>32</v>
      </c>
      <c r="Q16" s="37" t="s">
        <v>29</v>
      </c>
      <c r="R16" s="9" t="s">
        <v>33</v>
      </c>
      <c r="S16" s="10" t="s">
        <v>34</v>
      </c>
      <c r="T16" s="10" t="s">
        <v>35</v>
      </c>
      <c r="U16" s="11" t="s">
        <v>36</v>
      </c>
      <c r="V16" s="12" t="s">
        <v>37</v>
      </c>
      <c r="W16" s="13" t="s">
        <v>38</v>
      </c>
    </row>
    <row r="17" spans="1:23" x14ac:dyDescent="0.35">
      <c r="A17" t="str">
        <f>$B$1</f>
        <v>ESTUDIO SEGUIMIENTO DESEMPEÑO AMBIENTAL ACUICULTURA EN CHILE Y SU EFECTO EN LOS ECOSISTEMAS DE EMPLAZAMIENTO 2020-2021</v>
      </c>
      <c r="B17" t="str">
        <f>$B$2</f>
        <v>Objetivo 1. Actividad 2. Muestreos y Analisis sedimentos</v>
      </c>
      <c r="C17" t="str">
        <f>$B$3</f>
        <v>Gastón Vidal</v>
      </c>
      <c r="D17" t="str">
        <f>$B$4</f>
        <v>INSTITUTO DE FOMENTO PESQUERO</v>
      </c>
      <c r="E17" s="15" t="s">
        <v>40</v>
      </c>
      <c r="F17" s="16" t="s">
        <v>41</v>
      </c>
      <c r="G17" s="17">
        <v>1</v>
      </c>
      <c r="H17" s="18" t="s">
        <v>42</v>
      </c>
      <c r="I17" s="18" t="s">
        <v>43</v>
      </c>
      <c r="J17" s="23">
        <v>7.37</v>
      </c>
      <c r="K17" s="38">
        <v>5.291502622129169E-2</v>
      </c>
      <c r="L17" s="25">
        <v>12.199999999999998</v>
      </c>
      <c r="M17" s="40">
        <v>2.1755839288168292E-15</v>
      </c>
      <c r="N17" s="23">
        <v>99.533333333333346</v>
      </c>
      <c r="O17" s="38">
        <v>20.732181104103155</v>
      </c>
      <c r="P17" s="25">
        <v>220.71575942516725</v>
      </c>
      <c r="Q17" s="40">
        <v>122.17570923772332</v>
      </c>
      <c r="R17" s="23">
        <v>3.224046799465798</v>
      </c>
      <c r="S17" s="26">
        <v>3.5</v>
      </c>
      <c r="T17" s="26">
        <v>15.3</v>
      </c>
      <c r="U17" s="27">
        <v>44173</v>
      </c>
      <c r="V17" s="28">
        <v>0.82500000000000007</v>
      </c>
      <c r="W17" s="14">
        <f>G17</f>
        <v>1</v>
      </c>
    </row>
    <row r="18" spans="1:23" x14ac:dyDescent="0.35">
      <c r="A18" t="str">
        <f t="shared" ref="A18:A81" si="0">$B$1</f>
        <v>ESTUDIO SEGUIMIENTO DESEMPEÑO AMBIENTAL ACUICULTURA EN CHILE Y SU EFECTO EN LOS ECOSISTEMAS DE EMPLAZAMIENTO 2020-2021</v>
      </c>
      <c r="B18" t="str">
        <f t="shared" ref="B18:B81" si="1">$B$2</f>
        <v>Objetivo 1. Actividad 2. Muestreos y Analisis sedimentos</v>
      </c>
      <c r="C18" t="str">
        <f t="shared" ref="C18:C81" si="2">$B$3</f>
        <v>Gastón Vidal</v>
      </c>
      <c r="D18" t="str">
        <f t="shared" ref="D18:D81" si="3">$B$4</f>
        <v>INSTITUTO DE FOMENTO PESQUERO</v>
      </c>
      <c r="E18" s="15" t="s">
        <v>40</v>
      </c>
      <c r="F18" s="16" t="s">
        <v>41</v>
      </c>
      <c r="G18" s="17">
        <v>2</v>
      </c>
      <c r="H18" s="18" t="s">
        <v>44</v>
      </c>
      <c r="I18" s="18" t="s">
        <v>45</v>
      </c>
      <c r="J18" s="23">
        <v>7.2666666666666666</v>
      </c>
      <c r="K18" s="38">
        <v>6.8068592855540358E-2</v>
      </c>
      <c r="L18" s="23">
        <v>12.233333333333334</v>
      </c>
      <c r="M18" s="38">
        <v>5.77350269189634E-2</v>
      </c>
      <c r="N18" s="23">
        <v>127.46666666666668</v>
      </c>
      <c r="O18" s="38">
        <v>22.426398135530572</v>
      </c>
      <c r="P18" s="23">
        <v>0.05</v>
      </c>
      <c r="Q18" s="38"/>
      <c r="R18" s="23">
        <v>2.957613709053001</v>
      </c>
      <c r="S18" s="26">
        <v>3</v>
      </c>
      <c r="T18" s="26" t="s">
        <v>403</v>
      </c>
      <c r="U18" s="27">
        <v>44173</v>
      </c>
      <c r="V18" s="28">
        <v>0.80694444444444446</v>
      </c>
      <c r="W18" s="14">
        <f t="shared" ref="W18:W81" si="4">G18</f>
        <v>2</v>
      </c>
    </row>
    <row r="19" spans="1:23" x14ac:dyDescent="0.35">
      <c r="A19" t="str">
        <f t="shared" si="0"/>
        <v>ESTUDIO SEGUIMIENTO DESEMPEÑO AMBIENTAL ACUICULTURA EN CHILE Y SU EFECTO EN LOS ECOSISTEMAS DE EMPLAZAMIENTO 2020-2021</v>
      </c>
      <c r="B19" t="str">
        <f t="shared" si="1"/>
        <v>Objetivo 1. Actividad 2. Muestreos y Analisis sedimentos</v>
      </c>
      <c r="C19" t="str">
        <f t="shared" si="2"/>
        <v>Gastón Vidal</v>
      </c>
      <c r="D19" t="str">
        <f t="shared" si="3"/>
        <v>INSTITUTO DE FOMENTO PESQUERO</v>
      </c>
      <c r="E19" s="15" t="s">
        <v>40</v>
      </c>
      <c r="F19" s="16" t="s">
        <v>41</v>
      </c>
      <c r="G19" s="17">
        <v>3</v>
      </c>
      <c r="H19" s="18" t="s">
        <v>46</v>
      </c>
      <c r="I19" s="18" t="s">
        <v>47</v>
      </c>
      <c r="J19" s="23">
        <v>7.3166666666666664</v>
      </c>
      <c r="K19" s="38">
        <v>0.11150485789118485</v>
      </c>
      <c r="L19" s="23">
        <v>12.299999999999999</v>
      </c>
      <c r="M19" s="38">
        <v>0.17320508075688815</v>
      </c>
      <c r="N19" s="23">
        <v>190.96666666666667</v>
      </c>
      <c r="O19" s="38">
        <v>60.851485876133935</v>
      </c>
      <c r="P19" s="23">
        <v>0.05</v>
      </c>
      <c r="Q19" s="38"/>
      <c r="R19" s="23">
        <v>2.940661648870984</v>
      </c>
      <c r="S19" s="26">
        <v>2.5</v>
      </c>
      <c r="T19" s="26">
        <v>15.33</v>
      </c>
      <c r="U19" s="27">
        <v>44173</v>
      </c>
      <c r="V19" s="28">
        <v>0.78888888888888886</v>
      </c>
      <c r="W19" s="14">
        <f t="shared" si="4"/>
        <v>3</v>
      </c>
    </row>
    <row r="20" spans="1:23" x14ac:dyDescent="0.35">
      <c r="A20" t="str">
        <f t="shared" si="0"/>
        <v>ESTUDIO SEGUIMIENTO DESEMPEÑO AMBIENTAL ACUICULTURA EN CHILE Y SU EFECTO EN LOS ECOSISTEMAS DE EMPLAZAMIENTO 2020-2021</v>
      </c>
      <c r="B20" t="str">
        <f t="shared" si="1"/>
        <v>Objetivo 1. Actividad 2. Muestreos y Analisis sedimentos</v>
      </c>
      <c r="C20" t="str">
        <f t="shared" si="2"/>
        <v>Gastón Vidal</v>
      </c>
      <c r="D20" t="str">
        <f t="shared" si="3"/>
        <v>INSTITUTO DE FOMENTO PESQUERO</v>
      </c>
      <c r="E20" s="15" t="s">
        <v>40</v>
      </c>
      <c r="F20" s="16" t="s">
        <v>41</v>
      </c>
      <c r="G20" s="17">
        <v>5</v>
      </c>
      <c r="H20" s="18" t="s">
        <v>48</v>
      </c>
      <c r="I20" s="18" t="s">
        <v>49</v>
      </c>
      <c r="J20" s="23">
        <v>7.2733333333333334</v>
      </c>
      <c r="K20" s="38">
        <v>9.0737717258774567E-2</v>
      </c>
      <c r="L20" s="23">
        <v>12.299999999999999</v>
      </c>
      <c r="M20" s="38">
        <v>0.26457513110645914</v>
      </c>
      <c r="N20" s="23">
        <v>-9.8333333333333339</v>
      </c>
      <c r="O20" s="38">
        <v>71.616641455274433</v>
      </c>
      <c r="P20" s="23">
        <v>930.56463783209529</v>
      </c>
      <c r="Q20" s="38">
        <v>344.83313628106441</v>
      </c>
      <c r="R20" s="23">
        <v>12.026643641297555</v>
      </c>
      <c r="S20" s="26">
        <v>3</v>
      </c>
      <c r="T20" s="26">
        <v>13.23</v>
      </c>
      <c r="U20" s="27">
        <v>44174</v>
      </c>
      <c r="V20" s="28">
        <v>0.36805555555555558</v>
      </c>
      <c r="W20" s="14">
        <f t="shared" si="4"/>
        <v>5</v>
      </c>
    </row>
    <row r="21" spans="1:23" x14ac:dyDescent="0.35">
      <c r="A21" t="str">
        <f t="shared" si="0"/>
        <v>ESTUDIO SEGUIMIENTO DESEMPEÑO AMBIENTAL ACUICULTURA EN CHILE Y SU EFECTO EN LOS ECOSISTEMAS DE EMPLAZAMIENTO 2020-2021</v>
      </c>
      <c r="B21" t="str">
        <f t="shared" si="1"/>
        <v>Objetivo 1. Actividad 2. Muestreos y Analisis sedimentos</v>
      </c>
      <c r="C21" t="str">
        <f t="shared" si="2"/>
        <v>Gastón Vidal</v>
      </c>
      <c r="D21" t="str">
        <f t="shared" si="3"/>
        <v>INSTITUTO DE FOMENTO PESQUERO</v>
      </c>
      <c r="E21" s="15" t="s">
        <v>40</v>
      </c>
      <c r="F21" s="16" t="s">
        <v>41</v>
      </c>
      <c r="G21" s="17">
        <v>6</v>
      </c>
      <c r="H21" s="18" t="s">
        <v>50</v>
      </c>
      <c r="I21" s="18" t="s">
        <v>51</v>
      </c>
      <c r="J21" s="23">
        <v>7.3299999999999992</v>
      </c>
      <c r="K21" s="38">
        <v>0.2264950330581226</v>
      </c>
      <c r="L21" s="23">
        <v>12.633333333333335</v>
      </c>
      <c r="M21" s="38">
        <v>0.30550504633038905</v>
      </c>
      <c r="N21" s="23">
        <v>345</v>
      </c>
      <c r="O21" s="38">
        <v>14.78242199370592</v>
      </c>
      <c r="P21" s="23">
        <v>56.765166090909155</v>
      </c>
      <c r="Q21" s="38">
        <v>53.097605066944283</v>
      </c>
      <c r="R21" s="23">
        <v>1.8876848985207915</v>
      </c>
      <c r="S21" s="26">
        <v>3.5</v>
      </c>
      <c r="T21" s="26">
        <v>15.81</v>
      </c>
      <c r="U21" s="27">
        <v>44173</v>
      </c>
      <c r="V21" s="28">
        <v>0.76041666666666663</v>
      </c>
      <c r="W21" s="14">
        <f t="shared" si="4"/>
        <v>6</v>
      </c>
    </row>
    <row r="22" spans="1:23" x14ac:dyDescent="0.35">
      <c r="A22" t="str">
        <f t="shared" si="0"/>
        <v>ESTUDIO SEGUIMIENTO DESEMPEÑO AMBIENTAL ACUICULTURA EN CHILE Y SU EFECTO EN LOS ECOSISTEMAS DE EMPLAZAMIENTO 2020-2021</v>
      </c>
      <c r="B22" t="str">
        <f t="shared" si="1"/>
        <v>Objetivo 1. Actividad 2. Muestreos y Analisis sedimentos</v>
      </c>
      <c r="C22" t="str">
        <f t="shared" si="2"/>
        <v>Gastón Vidal</v>
      </c>
      <c r="D22" t="str">
        <f t="shared" si="3"/>
        <v>INSTITUTO DE FOMENTO PESQUERO</v>
      </c>
      <c r="E22" s="15" t="s">
        <v>40</v>
      </c>
      <c r="F22" s="16" t="s">
        <v>41</v>
      </c>
      <c r="G22" s="17">
        <v>7</v>
      </c>
      <c r="H22" s="18" t="s">
        <v>52</v>
      </c>
      <c r="I22" s="18" t="s">
        <v>53</v>
      </c>
      <c r="J22" s="23">
        <v>7.5266666666666664</v>
      </c>
      <c r="K22" s="38">
        <v>0.22143471573656515</v>
      </c>
      <c r="L22" s="23">
        <v>14.433333333333332</v>
      </c>
      <c r="M22" s="38">
        <v>0.32145502536643233</v>
      </c>
      <c r="N22" s="23">
        <v>355.89999999999992</v>
      </c>
      <c r="O22" s="38">
        <v>8.5293610546159897</v>
      </c>
      <c r="P22" s="23" t="s">
        <v>402</v>
      </c>
      <c r="Q22" s="38" t="s">
        <v>402</v>
      </c>
      <c r="R22" s="23">
        <v>0.86438585022155745</v>
      </c>
      <c r="S22" s="26">
        <v>4</v>
      </c>
      <c r="T22" s="26">
        <v>15.23</v>
      </c>
      <c r="U22" s="27">
        <v>44174</v>
      </c>
      <c r="V22" s="28">
        <v>0.3979166666666667</v>
      </c>
      <c r="W22" s="14">
        <f t="shared" si="4"/>
        <v>7</v>
      </c>
    </row>
    <row r="23" spans="1:23" x14ac:dyDescent="0.35">
      <c r="A23" t="str">
        <f t="shared" si="0"/>
        <v>ESTUDIO SEGUIMIENTO DESEMPEÑO AMBIENTAL ACUICULTURA EN CHILE Y SU EFECTO EN LOS ECOSISTEMAS DE EMPLAZAMIENTO 2020-2021</v>
      </c>
      <c r="B23" t="str">
        <f t="shared" si="1"/>
        <v>Objetivo 1. Actividad 2. Muestreos y Analisis sedimentos</v>
      </c>
      <c r="C23" t="str">
        <f t="shared" si="2"/>
        <v>Gastón Vidal</v>
      </c>
      <c r="D23" t="str">
        <f t="shared" si="3"/>
        <v>INSTITUTO DE FOMENTO PESQUERO</v>
      </c>
      <c r="E23" s="15" t="s">
        <v>40</v>
      </c>
      <c r="F23" s="16" t="s">
        <v>41</v>
      </c>
      <c r="G23" s="17">
        <v>8</v>
      </c>
      <c r="H23" s="18" t="s">
        <v>54</v>
      </c>
      <c r="I23" s="18" t="s">
        <v>55</v>
      </c>
      <c r="J23" s="23">
        <v>7.2666666666666657</v>
      </c>
      <c r="K23" s="38">
        <v>1.1547005383792781E-2</v>
      </c>
      <c r="L23" s="23">
        <v>12.366666666666665</v>
      </c>
      <c r="M23" s="38">
        <v>0.15275252316519508</v>
      </c>
      <c r="N23" s="23">
        <v>134.83333333333334</v>
      </c>
      <c r="O23" s="38">
        <v>7.3002283069321399</v>
      </c>
      <c r="P23" s="23">
        <v>0.05</v>
      </c>
      <c r="Q23" s="38"/>
      <c r="R23" s="23">
        <v>7.281066999176109</v>
      </c>
      <c r="S23" s="26">
        <v>3.5</v>
      </c>
      <c r="T23" s="26">
        <v>15.37</v>
      </c>
      <c r="U23" s="27">
        <v>44173</v>
      </c>
      <c r="V23" s="28">
        <v>0.72013888888888899</v>
      </c>
      <c r="W23" s="14">
        <f t="shared" si="4"/>
        <v>8</v>
      </c>
    </row>
    <row r="24" spans="1:23" x14ac:dyDescent="0.35">
      <c r="A24" t="str">
        <f t="shared" si="0"/>
        <v>ESTUDIO SEGUIMIENTO DESEMPEÑO AMBIENTAL ACUICULTURA EN CHILE Y SU EFECTO EN LOS ECOSISTEMAS DE EMPLAZAMIENTO 2020-2021</v>
      </c>
      <c r="B24" t="str">
        <f t="shared" si="1"/>
        <v>Objetivo 1. Actividad 2. Muestreos y Analisis sedimentos</v>
      </c>
      <c r="C24" t="str">
        <f t="shared" si="2"/>
        <v>Gastón Vidal</v>
      </c>
      <c r="D24" t="str">
        <f t="shared" si="3"/>
        <v>INSTITUTO DE FOMENTO PESQUERO</v>
      </c>
      <c r="E24" s="15" t="s">
        <v>40</v>
      </c>
      <c r="F24" s="16" t="s">
        <v>41</v>
      </c>
      <c r="G24" s="17">
        <v>12</v>
      </c>
      <c r="H24" s="18" t="s">
        <v>56</v>
      </c>
      <c r="I24" s="18" t="s">
        <v>57</v>
      </c>
      <c r="J24" s="23">
        <v>7.3666666666666663</v>
      </c>
      <c r="K24" s="38">
        <v>7.0945988845975722E-2</v>
      </c>
      <c r="L24" s="23">
        <v>12.233333333333334</v>
      </c>
      <c r="M24" s="38">
        <v>0.11547005383792577</v>
      </c>
      <c r="N24" s="23">
        <v>155.83333333333334</v>
      </c>
      <c r="O24" s="38">
        <v>58.963067536665129</v>
      </c>
      <c r="P24" s="23">
        <v>0.05</v>
      </c>
      <c r="Q24" s="38"/>
      <c r="R24" s="23" t="s">
        <v>402</v>
      </c>
      <c r="S24" s="26">
        <v>1</v>
      </c>
      <c r="T24" s="26" t="s">
        <v>404</v>
      </c>
      <c r="U24" s="27">
        <v>44173</v>
      </c>
      <c r="V24" s="28">
        <v>0.67569444444444438</v>
      </c>
      <c r="W24" s="14">
        <f t="shared" si="4"/>
        <v>12</v>
      </c>
    </row>
    <row r="25" spans="1:23" x14ac:dyDescent="0.35">
      <c r="A25" t="str">
        <f t="shared" si="0"/>
        <v>ESTUDIO SEGUIMIENTO DESEMPEÑO AMBIENTAL ACUICULTURA EN CHILE Y SU EFECTO EN LOS ECOSISTEMAS DE EMPLAZAMIENTO 2020-2021</v>
      </c>
      <c r="B25" t="str">
        <f t="shared" si="1"/>
        <v>Objetivo 1. Actividad 2. Muestreos y Analisis sedimentos</v>
      </c>
      <c r="C25" t="str">
        <f t="shared" si="2"/>
        <v>Gastón Vidal</v>
      </c>
      <c r="D25" t="str">
        <f t="shared" si="3"/>
        <v>INSTITUTO DE FOMENTO PESQUERO</v>
      </c>
      <c r="E25" s="15" t="s">
        <v>40</v>
      </c>
      <c r="F25" s="16" t="s">
        <v>41</v>
      </c>
      <c r="G25" s="17">
        <v>17</v>
      </c>
      <c r="H25" s="18" t="s">
        <v>58</v>
      </c>
      <c r="I25" s="18" t="s">
        <v>59</v>
      </c>
      <c r="J25" s="23">
        <v>7.5133333333333328</v>
      </c>
      <c r="K25" s="38">
        <v>0.10692676621563656</v>
      </c>
      <c r="L25" s="23">
        <v>14.833333333333334</v>
      </c>
      <c r="M25" s="38">
        <v>0.28867513459481292</v>
      </c>
      <c r="N25" s="23">
        <v>317.63333333333333</v>
      </c>
      <c r="O25" s="38">
        <v>2.4878439927471668E-2</v>
      </c>
      <c r="P25" s="23">
        <v>77.509307475547118</v>
      </c>
      <c r="Q25" s="38">
        <v>132.43283362851847</v>
      </c>
      <c r="R25" s="23">
        <v>2.2326305235907706</v>
      </c>
      <c r="S25" s="26">
        <v>3</v>
      </c>
      <c r="T25" s="26" t="s">
        <v>405</v>
      </c>
      <c r="U25" s="27">
        <v>44173</v>
      </c>
      <c r="V25" s="28">
        <v>0.60416666666666663</v>
      </c>
      <c r="W25" s="14">
        <f t="shared" si="4"/>
        <v>17</v>
      </c>
    </row>
    <row r="26" spans="1:23" x14ac:dyDescent="0.35">
      <c r="A26" t="str">
        <f t="shared" si="0"/>
        <v>ESTUDIO SEGUIMIENTO DESEMPEÑO AMBIENTAL ACUICULTURA EN CHILE Y SU EFECTO EN LOS ECOSISTEMAS DE EMPLAZAMIENTO 2020-2021</v>
      </c>
      <c r="B26" t="str">
        <f t="shared" si="1"/>
        <v>Objetivo 1. Actividad 2. Muestreos y Analisis sedimentos</v>
      </c>
      <c r="C26" t="str">
        <f t="shared" si="2"/>
        <v>Gastón Vidal</v>
      </c>
      <c r="D26" t="str">
        <f t="shared" si="3"/>
        <v>INSTITUTO DE FOMENTO PESQUERO</v>
      </c>
      <c r="E26" s="15" t="s">
        <v>40</v>
      </c>
      <c r="F26" s="16" t="s">
        <v>41</v>
      </c>
      <c r="G26" s="17">
        <v>21</v>
      </c>
      <c r="H26" s="18" t="s">
        <v>60</v>
      </c>
      <c r="I26" s="18" t="s">
        <v>61</v>
      </c>
      <c r="J26" s="23">
        <v>7.4266666666666667</v>
      </c>
      <c r="K26" s="38">
        <v>4.6188021535170098E-2</v>
      </c>
      <c r="L26" s="23">
        <v>12.966666666666669</v>
      </c>
      <c r="M26" s="38">
        <v>0.30550504633039</v>
      </c>
      <c r="N26" s="23">
        <v>368.73333333333335</v>
      </c>
      <c r="O26" s="38">
        <v>0.67920386948537992</v>
      </c>
      <c r="P26" s="23">
        <v>62.436116331422056</v>
      </c>
      <c r="Q26" s="38">
        <v>62.014970467138362</v>
      </c>
      <c r="R26" s="23">
        <v>4.6674198559525211</v>
      </c>
      <c r="S26" s="26">
        <v>3</v>
      </c>
      <c r="T26" s="26">
        <v>14.5</v>
      </c>
      <c r="U26" s="27">
        <v>44173</v>
      </c>
      <c r="V26" s="28">
        <v>0.56944444444444442</v>
      </c>
      <c r="W26" s="14">
        <f t="shared" si="4"/>
        <v>21</v>
      </c>
    </row>
    <row r="27" spans="1:23" x14ac:dyDescent="0.35">
      <c r="A27" t="str">
        <f t="shared" si="0"/>
        <v>ESTUDIO SEGUIMIENTO DESEMPEÑO AMBIENTAL ACUICULTURA EN CHILE Y SU EFECTO EN LOS ECOSISTEMAS DE EMPLAZAMIENTO 2020-2021</v>
      </c>
      <c r="B27" t="str">
        <f t="shared" si="1"/>
        <v>Objetivo 1. Actividad 2. Muestreos y Analisis sedimentos</v>
      </c>
      <c r="C27" t="str">
        <f t="shared" si="2"/>
        <v>Gastón Vidal</v>
      </c>
      <c r="D27" t="str">
        <f t="shared" si="3"/>
        <v>INSTITUTO DE FOMENTO PESQUERO</v>
      </c>
      <c r="E27" s="15" t="s">
        <v>40</v>
      </c>
      <c r="F27" s="16" t="s">
        <v>62</v>
      </c>
      <c r="G27" s="17">
        <v>3</v>
      </c>
      <c r="H27" s="19" t="s">
        <v>63</v>
      </c>
      <c r="I27" s="19" t="s">
        <v>64</v>
      </c>
      <c r="J27" s="23">
        <v>7.81</v>
      </c>
      <c r="K27" s="38">
        <v>4.5825756949558392E-2</v>
      </c>
      <c r="L27" s="23">
        <v>13.733333333333334</v>
      </c>
      <c r="M27" s="38">
        <v>0.20816659994661355</v>
      </c>
      <c r="N27" s="23">
        <v>420.76666666666665</v>
      </c>
      <c r="O27" s="38">
        <v>21.708600446213321</v>
      </c>
      <c r="P27" s="23">
        <v>0.05</v>
      </c>
      <c r="Q27" s="38"/>
      <c r="R27" s="23">
        <v>0.79446563019455518</v>
      </c>
      <c r="S27" s="19">
        <v>4</v>
      </c>
      <c r="T27" s="19">
        <v>14.66</v>
      </c>
      <c r="U27" s="29">
        <v>44186</v>
      </c>
      <c r="V27" s="30">
        <v>0.53333333333333333</v>
      </c>
      <c r="W27" s="14">
        <f t="shared" si="4"/>
        <v>3</v>
      </c>
    </row>
    <row r="28" spans="1:23" x14ac:dyDescent="0.35">
      <c r="A28" t="str">
        <f t="shared" si="0"/>
        <v>ESTUDIO SEGUIMIENTO DESEMPEÑO AMBIENTAL ACUICULTURA EN CHILE Y SU EFECTO EN LOS ECOSISTEMAS DE EMPLAZAMIENTO 2020-2021</v>
      </c>
      <c r="B28" t="str">
        <f t="shared" si="1"/>
        <v>Objetivo 1. Actividad 2. Muestreos y Analisis sedimentos</v>
      </c>
      <c r="C28" t="str">
        <f t="shared" si="2"/>
        <v>Gastón Vidal</v>
      </c>
      <c r="D28" t="str">
        <f t="shared" si="3"/>
        <v>INSTITUTO DE FOMENTO PESQUERO</v>
      </c>
      <c r="E28" s="15" t="s">
        <v>40</v>
      </c>
      <c r="F28" s="16" t="s">
        <v>62</v>
      </c>
      <c r="G28" s="17">
        <v>4</v>
      </c>
      <c r="H28" s="19" t="s">
        <v>65</v>
      </c>
      <c r="I28" s="19" t="s">
        <v>66</v>
      </c>
      <c r="J28" s="23">
        <v>7.9066666666666663</v>
      </c>
      <c r="K28" s="38">
        <v>6.8068592855540358E-2</v>
      </c>
      <c r="L28" s="23">
        <v>14.433333333333332</v>
      </c>
      <c r="M28" s="38">
        <v>0.642910050732864</v>
      </c>
      <c r="N28" s="23">
        <v>407.13333333333338</v>
      </c>
      <c r="O28" s="38">
        <v>5.1423081717584154</v>
      </c>
      <c r="P28" s="23">
        <v>0.05</v>
      </c>
      <c r="Q28" s="38"/>
      <c r="R28" s="23">
        <v>1.3225955136740413</v>
      </c>
      <c r="S28" s="19">
        <v>5</v>
      </c>
      <c r="T28" s="19">
        <v>14.83</v>
      </c>
      <c r="U28" s="29">
        <v>44186</v>
      </c>
      <c r="V28" s="30">
        <v>0.59027777777777779</v>
      </c>
      <c r="W28" s="14">
        <f t="shared" si="4"/>
        <v>4</v>
      </c>
    </row>
    <row r="29" spans="1:23" x14ac:dyDescent="0.35">
      <c r="A29" t="str">
        <f t="shared" si="0"/>
        <v>ESTUDIO SEGUIMIENTO DESEMPEÑO AMBIENTAL ACUICULTURA EN CHILE Y SU EFECTO EN LOS ECOSISTEMAS DE EMPLAZAMIENTO 2020-2021</v>
      </c>
      <c r="B29" t="str">
        <f t="shared" si="1"/>
        <v>Objetivo 1. Actividad 2. Muestreos y Analisis sedimentos</v>
      </c>
      <c r="C29" t="str">
        <f t="shared" si="2"/>
        <v>Gastón Vidal</v>
      </c>
      <c r="D29" t="str">
        <f t="shared" si="3"/>
        <v>INSTITUTO DE FOMENTO PESQUERO</v>
      </c>
      <c r="E29" s="15" t="s">
        <v>40</v>
      </c>
      <c r="F29" s="16" t="s">
        <v>62</v>
      </c>
      <c r="G29" s="17">
        <v>5</v>
      </c>
      <c r="H29" s="19" t="s">
        <v>67</v>
      </c>
      <c r="I29" s="19" t="s">
        <v>68</v>
      </c>
      <c r="J29" s="23">
        <v>7.9066666666666663</v>
      </c>
      <c r="K29" s="38">
        <v>6.8068592855540358E-2</v>
      </c>
      <c r="L29" s="23">
        <v>14.433333333333332</v>
      </c>
      <c r="M29" s="38">
        <v>0.642910050732864</v>
      </c>
      <c r="N29" s="23">
        <v>407.13333333333338</v>
      </c>
      <c r="O29" s="38">
        <v>5.1423081717584154</v>
      </c>
      <c r="P29" s="23">
        <v>0.05</v>
      </c>
      <c r="Q29" s="38"/>
      <c r="R29" s="23">
        <v>0.80970091430346458</v>
      </c>
      <c r="S29" s="19">
        <v>5</v>
      </c>
      <c r="T29" s="19">
        <v>14.46</v>
      </c>
      <c r="U29" s="29">
        <v>44186</v>
      </c>
      <c r="V29" s="30">
        <v>0.55208333333333337</v>
      </c>
      <c r="W29" s="14">
        <f t="shared" si="4"/>
        <v>5</v>
      </c>
    </row>
    <row r="30" spans="1:23" x14ac:dyDescent="0.35">
      <c r="A30" t="str">
        <f t="shared" si="0"/>
        <v>ESTUDIO SEGUIMIENTO DESEMPEÑO AMBIENTAL ACUICULTURA EN CHILE Y SU EFECTO EN LOS ECOSISTEMAS DE EMPLAZAMIENTO 2020-2021</v>
      </c>
      <c r="B30" t="str">
        <f t="shared" si="1"/>
        <v>Objetivo 1. Actividad 2. Muestreos y Analisis sedimentos</v>
      </c>
      <c r="C30" t="str">
        <f t="shared" si="2"/>
        <v>Gastón Vidal</v>
      </c>
      <c r="D30" t="str">
        <f t="shared" si="3"/>
        <v>INSTITUTO DE FOMENTO PESQUERO</v>
      </c>
      <c r="E30" s="15" t="s">
        <v>40</v>
      </c>
      <c r="F30" s="16" t="s">
        <v>62</v>
      </c>
      <c r="G30" s="17">
        <v>7</v>
      </c>
      <c r="H30" s="19" t="s">
        <v>69</v>
      </c>
      <c r="I30" s="19" t="s">
        <v>70</v>
      </c>
      <c r="J30" s="23">
        <v>7.6566666666666663</v>
      </c>
      <c r="K30" s="38">
        <v>4.9328828623162749E-2</v>
      </c>
      <c r="L30" s="23">
        <v>12.566666666666668</v>
      </c>
      <c r="M30" s="38">
        <v>0.15275252316519414</v>
      </c>
      <c r="N30" s="23">
        <v>382.13333333333338</v>
      </c>
      <c r="O30" s="38">
        <v>45.08883823446034</v>
      </c>
      <c r="P30" s="23">
        <v>0.05</v>
      </c>
      <c r="Q30" s="38"/>
      <c r="R30" s="23">
        <v>0.91136503626601839</v>
      </c>
      <c r="S30" s="19">
        <v>13</v>
      </c>
      <c r="T30" s="19">
        <v>13.08</v>
      </c>
      <c r="U30" s="29">
        <v>44178</v>
      </c>
      <c r="V30" s="30">
        <v>0.70138888888888884</v>
      </c>
      <c r="W30" s="14">
        <f t="shared" si="4"/>
        <v>7</v>
      </c>
    </row>
    <row r="31" spans="1:23" x14ac:dyDescent="0.35">
      <c r="A31" t="str">
        <f t="shared" si="0"/>
        <v>ESTUDIO SEGUIMIENTO DESEMPEÑO AMBIENTAL ACUICULTURA EN CHILE Y SU EFECTO EN LOS ECOSISTEMAS DE EMPLAZAMIENTO 2020-2021</v>
      </c>
      <c r="B31" t="str">
        <f t="shared" si="1"/>
        <v>Objetivo 1. Actividad 2. Muestreos y Analisis sedimentos</v>
      </c>
      <c r="C31" t="str">
        <f t="shared" si="2"/>
        <v>Gastón Vidal</v>
      </c>
      <c r="D31" t="str">
        <f t="shared" si="3"/>
        <v>INSTITUTO DE FOMENTO PESQUERO</v>
      </c>
      <c r="E31" s="15" t="s">
        <v>40</v>
      </c>
      <c r="F31" s="16" t="s">
        <v>62</v>
      </c>
      <c r="G31" s="17">
        <v>13</v>
      </c>
      <c r="H31" s="19" t="s">
        <v>71</v>
      </c>
      <c r="I31" s="19" t="s">
        <v>72</v>
      </c>
      <c r="J31" s="23">
        <v>7.5133333333333328</v>
      </c>
      <c r="K31" s="38">
        <v>5.6862407030773041E-2</v>
      </c>
      <c r="L31" s="23">
        <v>12.4333333333333</v>
      </c>
      <c r="M31" s="38">
        <v>2.1455380055672126</v>
      </c>
      <c r="N31" s="23">
        <v>405.13333333333338</v>
      </c>
      <c r="O31" s="38">
        <v>60.115416769188947</v>
      </c>
      <c r="P31" s="23">
        <v>0.05</v>
      </c>
      <c r="Q31" s="38"/>
      <c r="R31" s="23">
        <v>0.72722889629954057</v>
      </c>
      <c r="S31" s="19">
        <v>4.5</v>
      </c>
      <c r="T31" s="19">
        <v>14.98</v>
      </c>
      <c r="U31" s="29">
        <v>44172</v>
      </c>
      <c r="V31" s="30">
        <v>0.34722222222222227</v>
      </c>
      <c r="W31" s="14">
        <f t="shared" si="4"/>
        <v>13</v>
      </c>
    </row>
    <row r="32" spans="1:23" x14ac:dyDescent="0.35">
      <c r="A32" t="str">
        <f t="shared" si="0"/>
        <v>ESTUDIO SEGUIMIENTO DESEMPEÑO AMBIENTAL ACUICULTURA EN CHILE Y SU EFECTO EN LOS ECOSISTEMAS DE EMPLAZAMIENTO 2020-2021</v>
      </c>
      <c r="B32" t="str">
        <f t="shared" si="1"/>
        <v>Objetivo 1. Actividad 2. Muestreos y Analisis sedimentos</v>
      </c>
      <c r="C32" t="str">
        <f t="shared" si="2"/>
        <v>Gastón Vidal</v>
      </c>
      <c r="D32" t="str">
        <f t="shared" si="3"/>
        <v>INSTITUTO DE FOMENTO PESQUERO</v>
      </c>
      <c r="E32" s="15" t="s">
        <v>40</v>
      </c>
      <c r="F32" s="16" t="s">
        <v>62</v>
      </c>
      <c r="G32" s="17">
        <v>15</v>
      </c>
      <c r="H32" s="19" t="s">
        <v>73</v>
      </c>
      <c r="I32" s="19" t="s">
        <v>74</v>
      </c>
      <c r="J32" s="23">
        <v>7.3433333333333337</v>
      </c>
      <c r="K32" s="38">
        <v>0.14571661996262905</v>
      </c>
      <c r="L32" s="23">
        <v>12.266666666666666</v>
      </c>
      <c r="M32" s="38">
        <v>5.77350269189634E-2</v>
      </c>
      <c r="N32" s="23">
        <v>379.36666666666662</v>
      </c>
      <c r="O32" s="38">
        <v>22.219210907080704</v>
      </c>
      <c r="P32" s="23">
        <v>0.05</v>
      </c>
      <c r="Q32" s="38"/>
      <c r="R32" s="23">
        <v>1.2532267466066997</v>
      </c>
      <c r="S32" s="19">
        <v>7</v>
      </c>
      <c r="T32" s="19">
        <v>15.48</v>
      </c>
      <c r="U32" s="29">
        <v>44172</v>
      </c>
      <c r="V32" s="30">
        <v>0.40902777777777777</v>
      </c>
      <c r="W32" s="14">
        <f t="shared" si="4"/>
        <v>15</v>
      </c>
    </row>
    <row r="33" spans="1:23" x14ac:dyDescent="0.35">
      <c r="A33" t="str">
        <f t="shared" si="0"/>
        <v>ESTUDIO SEGUIMIENTO DESEMPEÑO AMBIENTAL ACUICULTURA EN CHILE Y SU EFECTO EN LOS ECOSISTEMAS DE EMPLAZAMIENTO 2020-2021</v>
      </c>
      <c r="B33" t="str">
        <f t="shared" si="1"/>
        <v>Objetivo 1. Actividad 2. Muestreos y Analisis sedimentos</v>
      </c>
      <c r="C33" t="str">
        <f t="shared" si="2"/>
        <v>Gastón Vidal</v>
      </c>
      <c r="D33" t="str">
        <f t="shared" si="3"/>
        <v>INSTITUTO DE FOMENTO PESQUERO</v>
      </c>
      <c r="E33" s="15" t="s">
        <v>40</v>
      </c>
      <c r="F33" s="16" t="s">
        <v>62</v>
      </c>
      <c r="G33" s="17">
        <v>17</v>
      </c>
      <c r="H33" s="19" t="s">
        <v>75</v>
      </c>
      <c r="I33" s="19" t="s">
        <v>76</v>
      </c>
      <c r="J33" s="23">
        <v>7.1766666666666667</v>
      </c>
      <c r="K33" s="38">
        <v>0.11503622617824953</v>
      </c>
      <c r="L33" s="23">
        <v>12.333333333333334</v>
      </c>
      <c r="M33" s="38">
        <v>0.32145502536643167</v>
      </c>
      <c r="N33" s="23">
        <v>422.0333333333333</v>
      </c>
      <c r="O33" s="38">
        <v>79.560689623289335</v>
      </c>
      <c r="P33" s="23">
        <v>0.05</v>
      </c>
      <c r="Q33" s="38"/>
      <c r="R33" s="23">
        <v>1.1560693641618587</v>
      </c>
      <c r="S33" s="19">
        <v>7.5</v>
      </c>
      <c r="T33" s="19">
        <v>15.27</v>
      </c>
      <c r="U33" s="29">
        <v>44172</v>
      </c>
      <c r="V33" s="30">
        <v>0.44930555555555557</v>
      </c>
      <c r="W33" s="14">
        <f t="shared" si="4"/>
        <v>17</v>
      </c>
    </row>
    <row r="34" spans="1:23" x14ac:dyDescent="0.35">
      <c r="A34" t="str">
        <f t="shared" si="0"/>
        <v>ESTUDIO SEGUIMIENTO DESEMPEÑO AMBIENTAL ACUICULTURA EN CHILE Y SU EFECTO EN LOS ECOSISTEMAS DE EMPLAZAMIENTO 2020-2021</v>
      </c>
      <c r="B34" t="str">
        <f t="shared" si="1"/>
        <v>Objetivo 1. Actividad 2. Muestreos y Analisis sedimentos</v>
      </c>
      <c r="C34" t="str">
        <f t="shared" si="2"/>
        <v>Gastón Vidal</v>
      </c>
      <c r="D34" t="str">
        <f t="shared" si="3"/>
        <v>INSTITUTO DE FOMENTO PESQUERO</v>
      </c>
      <c r="E34" s="15" t="s">
        <v>40</v>
      </c>
      <c r="F34" s="16" t="s">
        <v>62</v>
      </c>
      <c r="G34" s="17">
        <v>19</v>
      </c>
      <c r="H34" s="19" t="s">
        <v>77</v>
      </c>
      <c r="I34" s="19" t="s">
        <v>78</v>
      </c>
      <c r="J34" s="23">
        <v>7.04</v>
      </c>
      <c r="K34" s="38">
        <v>6.0827625302982434E-2</v>
      </c>
      <c r="L34" s="23">
        <v>12.433333333333332</v>
      </c>
      <c r="M34" s="38">
        <v>0.11547005383792475</v>
      </c>
      <c r="N34" s="23">
        <v>442.2</v>
      </c>
      <c r="O34" s="38">
        <v>71.018941135446411</v>
      </c>
      <c r="P34" s="23">
        <v>0.05</v>
      </c>
      <c r="Q34" s="38"/>
      <c r="R34" s="23">
        <v>1.4949494949494966</v>
      </c>
      <c r="S34" s="19">
        <v>8</v>
      </c>
      <c r="T34" s="19">
        <v>15.72</v>
      </c>
      <c r="U34" s="29">
        <v>44172</v>
      </c>
      <c r="V34" s="30">
        <v>0.53263888888888888</v>
      </c>
      <c r="W34" s="14">
        <f t="shared" si="4"/>
        <v>19</v>
      </c>
    </row>
    <row r="35" spans="1:23" x14ac:dyDescent="0.35">
      <c r="A35" t="str">
        <f t="shared" si="0"/>
        <v>ESTUDIO SEGUIMIENTO DESEMPEÑO AMBIENTAL ACUICULTURA EN CHILE Y SU EFECTO EN LOS ECOSISTEMAS DE EMPLAZAMIENTO 2020-2021</v>
      </c>
      <c r="B35" t="str">
        <f t="shared" si="1"/>
        <v>Objetivo 1. Actividad 2. Muestreos y Analisis sedimentos</v>
      </c>
      <c r="C35" t="str">
        <f t="shared" si="2"/>
        <v>Gastón Vidal</v>
      </c>
      <c r="D35" t="str">
        <f t="shared" si="3"/>
        <v>INSTITUTO DE FOMENTO PESQUERO</v>
      </c>
      <c r="E35" s="15" t="s">
        <v>40</v>
      </c>
      <c r="F35" s="16" t="s">
        <v>62</v>
      </c>
      <c r="G35" s="17">
        <v>21</v>
      </c>
      <c r="H35" s="19" t="s">
        <v>79</v>
      </c>
      <c r="I35" s="19" t="s">
        <v>80</v>
      </c>
      <c r="J35" s="23">
        <v>7.206666666666667</v>
      </c>
      <c r="K35" s="38">
        <v>4.9328828623162443E-2</v>
      </c>
      <c r="L35" s="23">
        <v>13.266666666666666</v>
      </c>
      <c r="M35" s="38">
        <v>0.11547005383792577</v>
      </c>
      <c r="N35" s="23">
        <v>224.66666666666666</v>
      </c>
      <c r="O35" s="38">
        <v>55.531732670008743</v>
      </c>
      <c r="P35" s="23">
        <v>0.05</v>
      </c>
      <c r="Q35" s="38"/>
      <c r="R35" s="23">
        <v>2.4186147792139119</v>
      </c>
      <c r="S35" s="19">
        <v>9</v>
      </c>
      <c r="T35" s="19" t="s">
        <v>406</v>
      </c>
      <c r="U35" s="29">
        <v>44172</v>
      </c>
      <c r="V35" s="30">
        <v>0.55138888888888882</v>
      </c>
      <c r="W35" s="14">
        <f t="shared" si="4"/>
        <v>21</v>
      </c>
    </row>
    <row r="36" spans="1:23" x14ac:dyDescent="0.35">
      <c r="A36" t="str">
        <f t="shared" si="0"/>
        <v>ESTUDIO SEGUIMIENTO DESEMPEÑO AMBIENTAL ACUICULTURA EN CHILE Y SU EFECTO EN LOS ECOSISTEMAS DE EMPLAZAMIENTO 2020-2021</v>
      </c>
      <c r="B36" t="str">
        <f t="shared" si="1"/>
        <v>Objetivo 1. Actividad 2. Muestreos y Analisis sedimentos</v>
      </c>
      <c r="C36" t="str">
        <f t="shared" si="2"/>
        <v>Gastón Vidal</v>
      </c>
      <c r="D36" t="str">
        <f t="shared" si="3"/>
        <v>INSTITUTO DE FOMENTO PESQUERO</v>
      </c>
      <c r="E36" s="15" t="s">
        <v>40</v>
      </c>
      <c r="F36" s="20" t="s">
        <v>62</v>
      </c>
      <c r="G36" s="21">
        <v>25</v>
      </c>
      <c r="H36" s="22" t="s">
        <v>81</v>
      </c>
      <c r="I36" s="22" t="s">
        <v>82</v>
      </c>
      <c r="J36" s="24">
        <v>7.5766666666666671</v>
      </c>
      <c r="K36" s="39">
        <v>0.13576941236277515</v>
      </c>
      <c r="L36" s="24">
        <v>13.266666666666666</v>
      </c>
      <c r="M36" s="39">
        <v>0.15275252316519508</v>
      </c>
      <c r="N36" s="24">
        <v>342.13333333333338</v>
      </c>
      <c r="O36" s="39">
        <v>5.0954227825896172</v>
      </c>
      <c r="P36" s="23">
        <v>0.05</v>
      </c>
      <c r="Q36" s="39"/>
      <c r="R36" s="24">
        <v>1.1732680005444136</v>
      </c>
      <c r="S36" s="22">
        <v>5.5</v>
      </c>
      <c r="T36" s="22">
        <v>14.97</v>
      </c>
      <c r="U36" s="31">
        <v>44186</v>
      </c>
      <c r="V36" s="32">
        <v>0.63888888888888895</v>
      </c>
      <c r="W36" s="14">
        <f t="shared" si="4"/>
        <v>25</v>
      </c>
    </row>
    <row r="37" spans="1:23" x14ac:dyDescent="0.35">
      <c r="A37" t="str">
        <f t="shared" si="0"/>
        <v>ESTUDIO SEGUIMIENTO DESEMPEÑO AMBIENTAL ACUICULTURA EN CHILE Y SU EFECTO EN LOS ECOSISTEMAS DE EMPLAZAMIENTO 2020-2021</v>
      </c>
      <c r="B37" t="str">
        <f t="shared" si="1"/>
        <v>Objetivo 1. Actividad 2. Muestreos y Analisis sedimentos</v>
      </c>
      <c r="C37" t="str">
        <f t="shared" si="2"/>
        <v>Gastón Vidal</v>
      </c>
      <c r="D37" t="str">
        <f t="shared" si="3"/>
        <v>INSTITUTO DE FOMENTO PESQUERO</v>
      </c>
      <c r="E37" s="15" t="s">
        <v>40</v>
      </c>
      <c r="F37" s="16" t="s">
        <v>83</v>
      </c>
      <c r="G37" s="17">
        <v>1</v>
      </c>
      <c r="H37" s="19" t="s">
        <v>84</v>
      </c>
      <c r="I37" s="19" t="s">
        <v>85</v>
      </c>
      <c r="J37" s="23">
        <v>7.4733333333333327</v>
      </c>
      <c r="K37" s="38">
        <v>0.15821925715074445</v>
      </c>
      <c r="L37" s="23">
        <v>12.633333333333333</v>
      </c>
      <c r="M37" s="38">
        <v>0.11547005383792475</v>
      </c>
      <c r="N37" s="23">
        <v>298.93333333333334</v>
      </c>
      <c r="O37" s="38">
        <v>93.479106399950652</v>
      </c>
      <c r="P37" s="23">
        <v>0.05</v>
      </c>
      <c r="Q37" s="38"/>
      <c r="R37" s="23">
        <v>0.91188818158035634</v>
      </c>
      <c r="S37" s="33">
        <v>8</v>
      </c>
      <c r="T37" s="33">
        <v>12.68</v>
      </c>
      <c r="U37" s="29">
        <v>44178</v>
      </c>
      <c r="V37" s="30">
        <v>0.72986111111111107</v>
      </c>
      <c r="W37" s="14">
        <f t="shared" si="4"/>
        <v>1</v>
      </c>
    </row>
    <row r="38" spans="1:23" x14ac:dyDescent="0.35">
      <c r="A38" t="str">
        <f t="shared" si="0"/>
        <v>ESTUDIO SEGUIMIENTO DESEMPEÑO AMBIENTAL ACUICULTURA EN CHILE Y SU EFECTO EN LOS ECOSISTEMAS DE EMPLAZAMIENTO 2020-2021</v>
      </c>
      <c r="B38" t="str">
        <f t="shared" si="1"/>
        <v>Objetivo 1. Actividad 2. Muestreos y Analisis sedimentos</v>
      </c>
      <c r="C38" t="str">
        <f t="shared" si="2"/>
        <v>Gastón Vidal</v>
      </c>
      <c r="D38" t="str">
        <f t="shared" si="3"/>
        <v>INSTITUTO DE FOMENTO PESQUERO</v>
      </c>
      <c r="E38" s="15" t="s">
        <v>40</v>
      </c>
      <c r="F38" s="16" t="s">
        <v>83</v>
      </c>
      <c r="G38" s="17">
        <v>2</v>
      </c>
      <c r="H38" s="19" t="s">
        <v>86</v>
      </c>
      <c r="I38" s="19" t="s">
        <v>87</v>
      </c>
      <c r="J38" s="23">
        <v>7.3033333333333337</v>
      </c>
      <c r="K38" s="38">
        <v>0.27300793639257681</v>
      </c>
      <c r="L38" s="23">
        <v>11.933333333333332</v>
      </c>
      <c r="M38" s="38">
        <v>5.7735026918962373E-2</v>
      </c>
      <c r="N38" s="23">
        <v>218.4</v>
      </c>
      <c r="O38" s="38">
        <v>50.820074773655918</v>
      </c>
      <c r="P38" s="23">
        <v>59.546221281178333</v>
      </c>
      <c r="Q38" s="38">
        <v>103.11570222814562</v>
      </c>
      <c r="R38" s="23">
        <v>2.5402160864345675</v>
      </c>
      <c r="S38" s="33">
        <v>3.5</v>
      </c>
      <c r="T38" s="33">
        <v>12.84</v>
      </c>
      <c r="U38" s="29">
        <v>44179</v>
      </c>
      <c r="V38" s="30">
        <v>0.34027777777777773</v>
      </c>
      <c r="W38" s="14">
        <f t="shared" si="4"/>
        <v>2</v>
      </c>
    </row>
    <row r="39" spans="1:23" x14ac:dyDescent="0.35">
      <c r="A39" t="str">
        <f t="shared" si="0"/>
        <v>ESTUDIO SEGUIMIENTO DESEMPEÑO AMBIENTAL ACUICULTURA EN CHILE Y SU EFECTO EN LOS ECOSISTEMAS DE EMPLAZAMIENTO 2020-2021</v>
      </c>
      <c r="B39" t="str">
        <f t="shared" si="1"/>
        <v>Objetivo 1. Actividad 2. Muestreos y Analisis sedimentos</v>
      </c>
      <c r="C39" t="str">
        <f t="shared" si="2"/>
        <v>Gastón Vidal</v>
      </c>
      <c r="D39" t="str">
        <f t="shared" si="3"/>
        <v>INSTITUTO DE FOMENTO PESQUERO</v>
      </c>
      <c r="E39" s="15" t="s">
        <v>40</v>
      </c>
      <c r="F39" s="16" t="s">
        <v>83</v>
      </c>
      <c r="G39" s="17">
        <v>8</v>
      </c>
      <c r="H39" s="19" t="s">
        <v>88</v>
      </c>
      <c r="I39" s="19" t="s">
        <v>89</v>
      </c>
      <c r="J39" s="23">
        <v>7.21</v>
      </c>
      <c r="K39" s="38">
        <v>0.2253885533916927</v>
      </c>
      <c r="L39" s="23">
        <v>12.966666666666667</v>
      </c>
      <c r="M39" s="38">
        <v>5.7735026918962373E-2</v>
      </c>
      <c r="N39" s="23">
        <v>153.5</v>
      </c>
      <c r="O39" s="38">
        <v>19.433733557914142</v>
      </c>
      <c r="P39" s="23">
        <v>94.151629395719354</v>
      </c>
      <c r="Q39" s="38">
        <v>43.077052338377442</v>
      </c>
      <c r="R39" s="23">
        <v>2.0137611958004582</v>
      </c>
      <c r="S39" s="33">
        <v>4</v>
      </c>
      <c r="T39" s="33">
        <v>12.86</v>
      </c>
      <c r="U39" s="29">
        <v>44178</v>
      </c>
      <c r="V39" s="30">
        <v>0.76874999999999993</v>
      </c>
      <c r="W39" s="14">
        <f t="shared" si="4"/>
        <v>8</v>
      </c>
    </row>
    <row r="40" spans="1:23" x14ac:dyDescent="0.35">
      <c r="A40" t="str">
        <f t="shared" si="0"/>
        <v>ESTUDIO SEGUIMIENTO DESEMPEÑO AMBIENTAL ACUICULTURA EN CHILE Y SU EFECTO EN LOS ECOSISTEMAS DE EMPLAZAMIENTO 2020-2021</v>
      </c>
      <c r="B40" t="str">
        <f t="shared" si="1"/>
        <v>Objetivo 1. Actividad 2. Muestreos y Analisis sedimentos</v>
      </c>
      <c r="C40" t="str">
        <f t="shared" si="2"/>
        <v>Gastón Vidal</v>
      </c>
      <c r="D40" t="str">
        <f t="shared" si="3"/>
        <v>INSTITUTO DE FOMENTO PESQUERO</v>
      </c>
      <c r="E40" s="15" t="s">
        <v>40</v>
      </c>
      <c r="F40" s="16" t="s">
        <v>83</v>
      </c>
      <c r="G40" s="17">
        <v>16</v>
      </c>
      <c r="H40" s="19" t="s">
        <v>90</v>
      </c>
      <c r="I40" s="19" t="s">
        <v>91</v>
      </c>
      <c r="J40" s="23">
        <v>7.496666666666667</v>
      </c>
      <c r="K40" s="38">
        <v>4.5092497528228866E-2</v>
      </c>
      <c r="L40" s="23">
        <v>12.300000000000002</v>
      </c>
      <c r="M40" s="38">
        <v>2.1755839288168292E-15</v>
      </c>
      <c r="N40" s="23">
        <v>363.93333333333334</v>
      </c>
      <c r="O40" s="38">
        <v>3.0989245446337339</v>
      </c>
      <c r="P40" s="23">
        <v>107.68262319417836</v>
      </c>
      <c r="Q40" s="38">
        <v>35.779194184649533</v>
      </c>
      <c r="R40" s="23">
        <v>0.75347367568221602</v>
      </c>
      <c r="S40" s="33">
        <v>7</v>
      </c>
      <c r="T40" s="33">
        <v>12.16</v>
      </c>
      <c r="U40" s="29">
        <v>44179</v>
      </c>
      <c r="V40" s="30">
        <v>0.50138888888888888</v>
      </c>
      <c r="W40" s="14">
        <f t="shared" si="4"/>
        <v>16</v>
      </c>
    </row>
    <row r="41" spans="1:23" x14ac:dyDescent="0.35">
      <c r="A41" t="str">
        <f t="shared" si="0"/>
        <v>ESTUDIO SEGUIMIENTO DESEMPEÑO AMBIENTAL ACUICULTURA EN CHILE Y SU EFECTO EN LOS ECOSISTEMAS DE EMPLAZAMIENTO 2020-2021</v>
      </c>
      <c r="B41" t="str">
        <f t="shared" si="1"/>
        <v>Objetivo 1. Actividad 2. Muestreos y Analisis sedimentos</v>
      </c>
      <c r="C41" t="str">
        <f t="shared" si="2"/>
        <v>Gastón Vidal</v>
      </c>
      <c r="D41" t="str">
        <f t="shared" si="3"/>
        <v>INSTITUTO DE FOMENTO PESQUERO</v>
      </c>
      <c r="E41" s="15" t="s">
        <v>40</v>
      </c>
      <c r="F41" s="16" t="s">
        <v>83</v>
      </c>
      <c r="G41" s="17">
        <v>22</v>
      </c>
      <c r="H41" s="19" t="s">
        <v>92</v>
      </c>
      <c r="I41" s="19" t="s">
        <v>87</v>
      </c>
      <c r="J41" s="23">
        <v>7.18</v>
      </c>
      <c r="K41" s="38">
        <v>0.34044089061098443</v>
      </c>
      <c r="L41" s="23">
        <v>12.633333333333333</v>
      </c>
      <c r="M41" s="38">
        <v>0.23094010767585052</v>
      </c>
      <c r="N41" s="23">
        <v>474.13333333333338</v>
      </c>
      <c r="O41" s="38">
        <v>6.3720744921362282</v>
      </c>
      <c r="P41" s="23" t="s">
        <v>402</v>
      </c>
      <c r="Q41" s="38" t="s">
        <v>402</v>
      </c>
      <c r="R41" s="23">
        <v>1.8041845160489089</v>
      </c>
      <c r="S41" s="33">
        <v>7</v>
      </c>
      <c r="T41" s="33">
        <v>12.67</v>
      </c>
      <c r="U41" s="29">
        <v>44179</v>
      </c>
      <c r="V41" s="30">
        <v>0.36527777777777781</v>
      </c>
      <c r="W41" s="14">
        <f t="shared" si="4"/>
        <v>22</v>
      </c>
    </row>
    <row r="42" spans="1:23" x14ac:dyDescent="0.35">
      <c r="A42" t="str">
        <f t="shared" si="0"/>
        <v>ESTUDIO SEGUIMIENTO DESEMPEÑO AMBIENTAL ACUICULTURA EN CHILE Y SU EFECTO EN LOS ECOSISTEMAS DE EMPLAZAMIENTO 2020-2021</v>
      </c>
      <c r="B42" t="str">
        <f t="shared" si="1"/>
        <v>Objetivo 1. Actividad 2. Muestreos y Analisis sedimentos</v>
      </c>
      <c r="C42" t="str">
        <f t="shared" si="2"/>
        <v>Gastón Vidal</v>
      </c>
      <c r="D42" t="str">
        <f t="shared" si="3"/>
        <v>INSTITUTO DE FOMENTO PESQUERO</v>
      </c>
      <c r="E42" s="15" t="s">
        <v>40</v>
      </c>
      <c r="F42" s="16" t="s">
        <v>83</v>
      </c>
      <c r="G42" s="17">
        <v>26</v>
      </c>
      <c r="H42" s="19" t="s">
        <v>93</v>
      </c>
      <c r="I42" s="19" t="s">
        <v>94</v>
      </c>
      <c r="J42" s="23">
        <v>7.37</v>
      </c>
      <c r="K42" s="38">
        <v>0.39887341350358257</v>
      </c>
      <c r="L42" s="23">
        <v>12.433333333333332</v>
      </c>
      <c r="M42" s="38">
        <v>5.7735026918962373E-2</v>
      </c>
      <c r="N42" s="23">
        <v>528.16666666666663</v>
      </c>
      <c r="O42" s="38">
        <v>51.596931433306487</v>
      </c>
      <c r="P42" s="23">
        <v>0.05</v>
      </c>
      <c r="Q42" s="38"/>
      <c r="R42" s="23">
        <v>0.65533777400413995</v>
      </c>
      <c r="S42" s="33">
        <v>10</v>
      </c>
      <c r="T42" s="33">
        <v>12.46</v>
      </c>
      <c r="U42" s="29">
        <v>44179</v>
      </c>
      <c r="V42" s="30">
        <v>0.40902777777777777</v>
      </c>
      <c r="W42" s="14">
        <f t="shared" si="4"/>
        <v>26</v>
      </c>
    </row>
    <row r="43" spans="1:23" x14ac:dyDescent="0.35">
      <c r="A43" t="str">
        <f t="shared" si="0"/>
        <v>ESTUDIO SEGUIMIENTO DESEMPEÑO AMBIENTAL ACUICULTURA EN CHILE Y SU EFECTO EN LOS ECOSISTEMAS DE EMPLAZAMIENTO 2020-2021</v>
      </c>
      <c r="B43" t="str">
        <f t="shared" si="1"/>
        <v>Objetivo 1. Actividad 2. Muestreos y Analisis sedimentos</v>
      </c>
      <c r="C43" t="str">
        <f t="shared" si="2"/>
        <v>Gastón Vidal</v>
      </c>
      <c r="D43" t="str">
        <f t="shared" si="3"/>
        <v>INSTITUTO DE FOMENTO PESQUERO</v>
      </c>
      <c r="E43" s="15" t="s">
        <v>40</v>
      </c>
      <c r="F43" s="16" t="s">
        <v>83</v>
      </c>
      <c r="G43" s="17">
        <v>27</v>
      </c>
      <c r="H43" s="19" t="s">
        <v>95</v>
      </c>
      <c r="I43" s="19" t="s">
        <v>96</v>
      </c>
      <c r="J43" s="23">
        <v>7.2066666666666661</v>
      </c>
      <c r="K43" s="38">
        <v>0.39106691669499893</v>
      </c>
      <c r="L43" s="23">
        <v>12.6</v>
      </c>
      <c r="M43" s="38">
        <v>9.9999999999999645E-2</v>
      </c>
      <c r="N43" s="23">
        <v>132.33333333333334</v>
      </c>
      <c r="O43" s="38">
        <v>85.657301693045042</v>
      </c>
      <c r="P43" s="23">
        <v>706.64747656934185</v>
      </c>
      <c r="Q43" s="38">
        <v>251.9207725715703</v>
      </c>
      <c r="R43" s="23">
        <v>2.9211933091912323</v>
      </c>
      <c r="S43" s="33">
        <v>10.5</v>
      </c>
      <c r="T43" s="33">
        <v>12.81</v>
      </c>
      <c r="U43" s="29">
        <v>44179</v>
      </c>
      <c r="V43" s="30">
        <v>0.4381944444444445</v>
      </c>
      <c r="W43" s="14">
        <f t="shared" si="4"/>
        <v>27</v>
      </c>
    </row>
    <row r="44" spans="1:23" x14ac:dyDescent="0.35">
      <c r="A44" t="str">
        <f t="shared" si="0"/>
        <v>ESTUDIO SEGUIMIENTO DESEMPEÑO AMBIENTAL ACUICULTURA EN CHILE Y SU EFECTO EN LOS ECOSISTEMAS DE EMPLAZAMIENTO 2020-2021</v>
      </c>
      <c r="B44" t="str">
        <f t="shared" si="1"/>
        <v>Objetivo 1. Actividad 2. Muestreos y Analisis sedimentos</v>
      </c>
      <c r="C44" t="str">
        <f t="shared" si="2"/>
        <v>Gastón Vidal</v>
      </c>
      <c r="D44" t="str">
        <f t="shared" si="3"/>
        <v>INSTITUTO DE FOMENTO PESQUERO</v>
      </c>
      <c r="E44" s="15" t="s">
        <v>40</v>
      </c>
      <c r="F44" s="16" t="s">
        <v>83</v>
      </c>
      <c r="G44" s="17">
        <v>30</v>
      </c>
      <c r="H44" s="19" t="s">
        <v>97</v>
      </c>
      <c r="I44" s="19" t="s">
        <v>98</v>
      </c>
      <c r="J44" s="23">
        <v>7.6500000000000012</v>
      </c>
      <c r="K44" s="38">
        <v>7.000000000000034E-2</v>
      </c>
      <c r="L44" s="23">
        <v>11.6</v>
      </c>
      <c r="M44" s="38">
        <v>0</v>
      </c>
      <c r="N44" s="23">
        <v>388.03333333333336</v>
      </c>
      <c r="O44" s="38">
        <v>11.101501399960862</v>
      </c>
      <c r="P44" s="23">
        <v>138.27104881162774</v>
      </c>
      <c r="Q44" s="38">
        <v>133.2008420511429</v>
      </c>
      <c r="R44" s="23">
        <v>0.91862845445240082</v>
      </c>
      <c r="S44" s="33">
        <v>10</v>
      </c>
      <c r="T44" s="33">
        <v>12.2</v>
      </c>
      <c r="U44" s="29">
        <v>44179</v>
      </c>
      <c r="V44" s="30">
        <v>0.46875</v>
      </c>
      <c r="W44" s="14">
        <f t="shared" si="4"/>
        <v>30</v>
      </c>
    </row>
    <row r="45" spans="1:23" x14ac:dyDescent="0.35">
      <c r="A45" t="str">
        <f t="shared" si="0"/>
        <v>ESTUDIO SEGUIMIENTO DESEMPEÑO AMBIENTAL ACUICULTURA EN CHILE Y SU EFECTO EN LOS ECOSISTEMAS DE EMPLAZAMIENTO 2020-2021</v>
      </c>
      <c r="B45" t="str">
        <f t="shared" si="1"/>
        <v>Objetivo 1. Actividad 2. Muestreos y Analisis sedimentos</v>
      </c>
      <c r="C45" t="str">
        <f t="shared" si="2"/>
        <v>Gastón Vidal</v>
      </c>
      <c r="D45" t="str">
        <f t="shared" si="3"/>
        <v>INSTITUTO DE FOMENTO PESQUERO</v>
      </c>
      <c r="E45" s="15" t="s">
        <v>40</v>
      </c>
      <c r="F45" s="16" t="s">
        <v>99</v>
      </c>
      <c r="G45" s="17">
        <v>2</v>
      </c>
      <c r="H45" s="19" t="s">
        <v>100</v>
      </c>
      <c r="I45" s="19" t="s">
        <v>101</v>
      </c>
      <c r="J45" s="23">
        <v>7.5066666666666668</v>
      </c>
      <c r="K45" s="38">
        <v>4.1633319989322626E-2</v>
      </c>
      <c r="L45" s="23">
        <v>11.733333333333334</v>
      </c>
      <c r="M45" s="38">
        <v>5.77350269189634E-2</v>
      </c>
      <c r="N45" s="23">
        <v>339.0333333333333</v>
      </c>
      <c r="O45" s="38">
        <v>47.451062510057263</v>
      </c>
      <c r="P45" s="23">
        <v>0.05</v>
      </c>
      <c r="Q45" s="38"/>
      <c r="R45" s="23">
        <v>0.99277515884403267</v>
      </c>
      <c r="S45" s="19">
        <v>8.5</v>
      </c>
      <c r="T45" s="19">
        <v>11.12</v>
      </c>
      <c r="U45" s="29">
        <v>44180</v>
      </c>
      <c r="V45" s="30">
        <v>0.49861111111111112</v>
      </c>
      <c r="W45" s="14">
        <f t="shared" si="4"/>
        <v>2</v>
      </c>
    </row>
    <row r="46" spans="1:23" x14ac:dyDescent="0.35">
      <c r="A46" t="str">
        <f t="shared" si="0"/>
        <v>ESTUDIO SEGUIMIENTO DESEMPEÑO AMBIENTAL ACUICULTURA EN CHILE Y SU EFECTO EN LOS ECOSISTEMAS DE EMPLAZAMIENTO 2020-2021</v>
      </c>
      <c r="B46" t="str">
        <f t="shared" si="1"/>
        <v>Objetivo 1. Actividad 2. Muestreos y Analisis sedimentos</v>
      </c>
      <c r="C46" t="str">
        <f t="shared" si="2"/>
        <v>Gastón Vidal</v>
      </c>
      <c r="D46" t="str">
        <f t="shared" si="3"/>
        <v>INSTITUTO DE FOMENTO PESQUERO</v>
      </c>
      <c r="E46" s="15" t="s">
        <v>40</v>
      </c>
      <c r="F46" s="16" t="s">
        <v>99</v>
      </c>
      <c r="G46" s="17">
        <v>6</v>
      </c>
      <c r="H46" s="19" t="s">
        <v>102</v>
      </c>
      <c r="I46" s="19" t="s">
        <v>103</v>
      </c>
      <c r="J46" s="23">
        <v>7.503333333333333</v>
      </c>
      <c r="K46" s="38">
        <v>9.0184995056457731E-2</v>
      </c>
      <c r="L46" s="23">
        <v>12.199999999999998</v>
      </c>
      <c r="M46" s="38">
        <v>0.20000000000000021</v>
      </c>
      <c r="N46" s="23">
        <v>406.06666666666666</v>
      </c>
      <c r="O46" s="38">
        <v>6.5156222521976561</v>
      </c>
      <c r="P46" s="23">
        <v>0.05</v>
      </c>
      <c r="Q46" s="38"/>
      <c r="R46" s="23">
        <v>0.97716558445686552</v>
      </c>
      <c r="S46" s="19">
        <v>8.1999999999999993</v>
      </c>
      <c r="T46" s="19">
        <v>11.23</v>
      </c>
      <c r="U46" s="29">
        <v>44180</v>
      </c>
      <c r="V46" s="30">
        <v>0.47222222222222227</v>
      </c>
      <c r="W46" s="14">
        <f t="shared" si="4"/>
        <v>6</v>
      </c>
    </row>
    <row r="47" spans="1:23" x14ac:dyDescent="0.35">
      <c r="A47" t="str">
        <f t="shared" si="0"/>
        <v>ESTUDIO SEGUIMIENTO DESEMPEÑO AMBIENTAL ACUICULTURA EN CHILE Y SU EFECTO EN LOS ECOSISTEMAS DE EMPLAZAMIENTO 2020-2021</v>
      </c>
      <c r="B47" t="str">
        <f t="shared" si="1"/>
        <v>Objetivo 1. Actividad 2. Muestreos y Analisis sedimentos</v>
      </c>
      <c r="C47" t="str">
        <f t="shared" si="2"/>
        <v>Gastón Vidal</v>
      </c>
      <c r="D47" t="str">
        <f t="shared" si="3"/>
        <v>INSTITUTO DE FOMENTO PESQUERO</v>
      </c>
      <c r="E47" s="15" t="s">
        <v>40</v>
      </c>
      <c r="F47" s="16" t="s">
        <v>99</v>
      </c>
      <c r="G47" s="17">
        <v>12</v>
      </c>
      <c r="H47" s="19" t="s">
        <v>104</v>
      </c>
      <c r="I47" s="19" t="s">
        <v>105</v>
      </c>
      <c r="J47" s="23">
        <v>7.44</v>
      </c>
      <c r="K47" s="38">
        <v>0.15716233645501734</v>
      </c>
      <c r="L47" s="23">
        <v>11.866666666666665</v>
      </c>
      <c r="M47" s="38">
        <v>0.15275252316519508</v>
      </c>
      <c r="N47" s="23">
        <v>367.73333333333335</v>
      </c>
      <c r="O47" s="38">
        <v>29.278718095800123</v>
      </c>
      <c r="P47" s="23">
        <v>661.7571011054423</v>
      </c>
      <c r="Q47" s="38">
        <v>275.14330700627295</v>
      </c>
      <c r="R47" s="23">
        <v>1.0297606210912171</v>
      </c>
      <c r="S47" s="19">
        <v>5</v>
      </c>
      <c r="T47" s="19">
        <v>11.07</v>
      </c>
      <c r="U47" s="29">
        <v>44180</v>
      </c>
      <c r="V47" s="30">
        <v>0.43611111111111112</v>
      </c>
      <c r="W47" s="14">
        <f t="shared" si="4"/>
        <v>12</v>
      </c>
    </row>
    <row r="48" spans="1:23" x14ac:dyDescent="0.35">
      <c r="A48" t="str">
        <f t="shared" si="0"/>
        <v>ESTUDIO SEGUIMIENTO DESEMPEÑO AMBIENTAL ACUICULTURA EN CHILE Y SU EFECTO EN LOS ECOSISTEMAS DE EMPLAZAMIENTO 2020-2021</v>
      </c>
      <c r="B48" t="str">
        <f t="shared" si="1"/>
        <v>Objetivo 1. Actividad 2. Muestreos y Analisis sedimentos</v>
      </c>
      <c r="C48" t="str">
        <f t="shared" si="2"/>
        <v>Gastón Vidal</v>
      </c>
      <c r="D48" t="str">
        <f t="shared" si="3"/>
        <v>INSTITUTO DE FOMENTO PESQUERO</v>
      </c>
      <c r="E48" s="15" t="s">
        <v>40</v>
      </c>
      <c r="F48" s="16" t="s">
        <v>99</v>
      </c>
      <c r="G48" s="17">
        <v>14</v>
      </c>
      <c r="H48" s="19" t="s">
        <v>106</v>
      </c>
      <c r="I48" s="19" t="s">
        <v>107</v>
      </c>
      <c r="J48" s="23">
        <v>7.8833333333333337</v>
      </c>
      <c r="K48" s="38">
        <v>0.23072349974229645</v>
      </c>
      <c r="L48" s="23">
        <v>12.333333333333334</v>
      </c>
      <c r="M48" s="38">
        <v>5.7735026918962373E-2</v>
      </c>
      <c r="N48" s="23">
        <v>412.66666666666669</v>
      </c>
      <c r="O48" s="38">
        <v>0.73711147958319478</v>
      </c>
      <c r="P48" s="23">
        <v>0.05</v>
      </c>
      <c r="Q48" s="38"/>
      <c r="R48" s="23">
        <v>0.69926608002574009</v>
      </c>
      <c r="S48" s="19">
        <v>10.5</v>
      </c>
      <c r="T48" s="19">
        <v>11.16</v>
      </c>
      <c r="U48" s="29">
        <v>44180</v>
      </c>
      <c r="V48" s="30">
        <v>0.40972222222222227</v>
      </c>
      <c r="W48" s="14">
        <f t="shared" si="4"/>
        <v>14</v>
      </c>
    </row>
    <row r="49" spans="1:23" x14ac:dyDescent="0.35">
      <c r="A49" t="str">
        <f t="shared" si="0"/>
        <v>ESTUDIO SEGUIMIENTO DESEMPEÑO AMBIENTAL ACUICULTURA EN CHILE Y SU EFECTO EN LOS ECOSISTEMAS DE EMPLAZAMIENTO 2020-2021</v>
      </c>
      <c r="B49" t="str">
        <f t="shared" si="1"/>
        <v>Objetivo 1. Actividad 2. Muestreos y Analisis sedimentos</v>
      </c>
      <c r="C49" t="str">
        <f t="shared" si="2"/>
        <v>Gastón Vidal</v>
      </c>
      <c r="D49" t="str">
        <f t="shared" si="3"/>
        <v>INSTITUTO DE FOMENTO PESQUERO</v>
      </c>
      <c r="E49" s="15" t="s">
        <v>40</v>
      </c>
      <c r="F49" s="16" t="s">
        <v>108</v>
      </c>
      <c r="G49" s="17">
        <v>1</v>
      </c>
      <c r="H49" s="19" t="s">
        <v>109</v>
      </c>
      <c r="I49" s="19" t="s">
        <v>110</v>
      </c>
      <c r="J49" s="23">
        <v>7.5</v>
      </c>
      <c r="K49" s="38">
        <v>0.11269427669584636</v>
      </c>
      <c r="L49" s="23">
        <v>12.366666666666667</v>
      </c>
      <c r="M49" s="38">
        <v>0.55075705472861036</v>
      </c>
      <c r="N49" s="23">
        <v>331.86666666666662</v>
      </c>
      <c r="O49" s="38">
        <v>74.012183681697593</v>
      </c>
      <c r="P49" s="23">
        <v>0.05</v>
      </c>
      <c r="Q49" s="38"/>
      <c r="R49" s="23">
        <v>1.0365901846631778</v>
      </c>
      <c r="S49" s="19">
        <v>6</v>
      </c>
      <c r="T49" s="19">
        <v>11.35</v>
      </c>
      <c r="U49" s="29">
        <v>44181</v>
      </c>
      <c r="V49" s="30">
        <v>0.34027777777777773</v>
      </c>
      <c r="W49" s="14">
        <f t="shared" si="4"/>
        <v>1</v>
      </c>
    </row>
    <row r="50" spans="1:23" x14ac:dyDescent="0.35">
      <c r="A50" t="str">
        <f t="shared" si="0"/>
        <v>ESTUDIO SEGUIMIENTO DESEMPEÑO AMBIENTAL ACUICULTURA EN CHILE Y SU EFECTO EN LOS ECOSISTEMAS DE EMPLAZAMIENTO 2020-2021</v>
      </c>
      <c r="B50" t="str">
        <f t="shared" si="1"/>
        <v>Objetivo 1. Actividad 2. Muestreos y Analisis sedimentos</v>
      </c>
      <c r="C50" t="str">
        <f t="shared" si="2"/>
        <v>Gastón Vidal</v>
      </c>
      <c r="D50" t="str">
        <f t="shared" si="3"/>
        <v>INSTITUTO DE FOMENTO PESQUERO</v>
      </c>
      <c r="E50" s="15" t="s">
        <v>40</v>
      </c>
      <c r="F50" s="16" t="s">
        <v>108</v>
      </c>
      <c r="G50" s="17">
        <v>3</v>
      </c>
      <c r="H50" s="19" t="s">
        <v>111</v>
      </c>
      <c r="I50" s="19" t="s">
        <v>112</v>
      </c>
      <c r="J50" s="23">
        <v>7.4899999999999993</v>
      </c>
      <c r="K50" s="38">
        <v>0.14730919862656228</v>
      </c>
      <c r="L50" s="23">
        <v>12.133333333333333</v>
      </c>
      <c r="M50" s="38">
        <v>0.23094010767585052</v>
      </c>
      <c r="N50" s="23">
        <v>432.36666666666662</v>
      </c>
      <c r="O50" s="38">
        <v>9.7109903374132216</v>
      </c>
      <c r="P50" s="23">
        <v>0.05</v>
      </c>
      <c r="Q50" s="38"/>
      <c r="R50" s="23">
        <v>1.3254694630788912</v>
      </c>
      <c r="S50" s="19">
        <v>6.5</v>
      </c>
      <c r="T50" s="19">
        <v>11.33</v>
      </c>
      <c r="U50" s="29">
        <v>44181</v>
      </c>
      <c r="V50" s="30">
        <v>0.37152777777777773</v>
      </c>
      <c r="W50" s="14">
        <f t="shared" si="4"/>
        <v>3</v>
      </c>
    </row>
    <row r="51" spans="1:23" x14ac:dyDescent="0.35">
      <c r="A51" t="str">
        <f t="shared" si="0"/>
        <v>ESTUDIO SEGUIMIENTO DESEMPEÑO AMBIENTAL ACUICULTURA EN CHILE Y SU EFECTO EN LOS ECOSISTEMAS DE EMPLAZAMIENTO 2020-2021</v>
      </c>
      <c r="B51" t="str">
        <f t="shared" si="1"/>
        <v>Objetivo 1. Actividad 2. Muestreos y Analisis sedimentos</v>
      </c>
      <c r="C51" t="str">
        <f t="shared" si="2"/>
        <v>Gastón Vidal</v>
      </c>
      <c r="D51" t="str">
        <f t="shared" si="3"/>
        <v>INSTITUTO DE FOMENTO PESQUERO</v>
      </c>
      <c r="E51" s="15" t="s">
        <v>40</v>
      </c>
      <c r="F51" s="16" t="s">
        <v>108</v>
      </c>
      <c r="G51" s="17">
        <v>7</v>
      </c>
      <c r="H51" s="19" t="s">
        <v>113</v>
      </c>
      <c r="I51" s="19" t="s">
        <v>114</v>
      </c>
      <c r="J51" s="23">
        <v>7.6099999999999994</v>
      </c>
      <c r="K51" s="38">
        <v>2.9999999999999805E-2</v>
      </c>
      <c r="L51" s="23">
        <v>12.833333333333334</v>
      </c>
      <c r="M51" s="38">
        <v>0.11547005383792577</v>
      </c>
      <c r="N51" s="23">
        <v>396.43333333333334</v>
      </c>
      <c r="O51" s="38">
        <v>41.684689435490974</v>
      </c>
      <c r="P51" s="23">
        <v>0.05</v>
      </c>
      <c r="Q51" s="38"/>
      <c r="R51" s="23">
        <v>0.81189153712459905</v>
      </c>
      <c r="S51" s="19">
        <v>5.8</v>
      </c>
      <c r="T51" s="19">
        <v>11.93</v>
      </c>
      <c r="U51" s="29">
        <v>44181</v>
      </c>
      <c r="V51" s="30">
        <v>0.45208333333333334</v>
      </c>
      <c r="W51" s="14">
        <f t="shared" si="4"/>
        <v>7</v>
      </c>
    </row>
    <row r="52" spans="1:23" x14ac:dyDescent="0.35">
      <c r="A52" t="str">
        <f t="shared" si="0"/>
        <v>ESTUDIO SEGUIMIENTO DESEMPEÑO AMBIENTAL ACUICULTURA EN CHILE Y SU EFECTO EN LOS ECOSISTEMAS DE EMPLAZAMIENTO 2020-2021</v>
      </c>
      <c r="B52" t="str">
        <f t="shared" si="1"/>
        <v>Objetivo 1. Actividad 2. Muestreos y Analisis sedimentos</v>
      </c>
      <c r="C52" t="str">
        <f t="shared" si="2"/>
        <v>Gastón Vidal</v>
      </c>
      <c r="D52" t="str">
        <f t="shared" si="3"/>
        <v>INSTITUTO DE FOMENTO PESQUERO</v>
      </c>
      <c r="E52" s="15" t="s">
        <v>40</v>
      </c>
      <c r="F52" s="16" t="s">
        <v>108</v>
      </c>
      <c r="G52" s="17">
        <v>10</v>
      </c>
      <c r="H52" s="19" t="s">
        <v>115</v>
      </c>
      <c r="I52" s="19" t="s">
        <v>116</v>
      </c>
      <c r="J52" s="23">
        <v>7.3433333333333337</v>
      </c>
      <c r="K52" s="38">
        <v>4.0414518843273455E-2</v>
      </c>
      <c r="L52" s="23">
        <v>11.6</v>
      </c>
      <c r="M52" s="38">
        <v>9.9999999999999645E-2</v>
      </c>
      <c r="N52" s="23">
        <v>368.43333333333334</v>
      </c>
      <c r="O52" s="38">
        <v>44.199698339845419</v>
      </c>
      <c r="P52" s="23">
        <v>0.05</v>
      </c>
      <c r="Q52" s="38"/>
      <c r="R52" s="23">
        <v>1.1824347850308643</v>
      </c>
      <c r="S52" s="19">
        <v>7</v>
      </c>
      <c r="T52" s="19">
        <v>11.22</v>
      </c>
      <c r="U52" s="29">
        <v>44180</v>
      </c>
      <c r="V52" s="30">
        <v>0.70138888888888884</v>
      </c>
      <c r="W52" s="14">
        <f t="shared" si="4"/>
        <v>10</v>
      </c>
    </row>
    <row r="53" spans="1:23" x14ac:dyDescent="0.35">
      <c r="A53" t="str">
        <f t="shared" si="0"/>
        <v>ESTUDIO SEGUIMIENTO DESEMPEÑO AMBIENTAL ACUICULTURA EN CHILE Y SU EFECTO EN LOS ECOSISTEMAS DE EMPLAZAMIENTO 2020-2021</v>
      </c>
      <c r="B53" t="str">
        <f t="shared" si="1"/>
        <v>Objetivo 1. Actividad 2. Muestreos y Analisis sedimentos</v>
      </c>
      <c r="C53" t="str">
        <f t="shared" si="2"/>
        <v>Gastón Vidal</v>
      </c>
      <c r="D53" t="str">
        <f t="shared" si="3"/>
        <v>INSTITUTO DE FOMENTO PESQUERO</v>
      </c>
      <c r="E53" s="15" t="s">
        <v>40</v>
      </c>
      <c r="F53" s="16" t="s">
        <v>108</v>
      </c>
      <c r="G53" s="17">
        <v>12</v>
      </c>
      <c r="H53" s="19" t="s">
        <v>117</v>
      </c>
      <c r="I53" s="19" t="s">
        <v>118</v>
      </c>
      <c r="J53" s="23">
        <v>7.373333333333334</v>
      </c>
      <c r="K53" s="38">
        <v>9.073771725877508E-2</v>
      </c>
      <c r="L53" s="23">
        <v>11.633333333333333</v>
      </c>
      <c r="M53" s="38">
        <v>5.7735026918962373E-2</v>
      </c>
      <c r="N53" s="23">
        <v>393.06666666666666</v>
      </c>
      <c r="O53" s="38">
        <v>50.636877207558165</v>
      </c>
      <c r="P53" s="23">
        <v>0.05</v>
      </c>
      <c r="Q53" s="38"/>
      <c r="R53" s="23">
        <v>0.82038566039727645</v>
      </c>
      <c r="S53" s="19">
        <v>7</v>
      </c>
      <c r="T53" s="19">
        <v>11.16</v>
      </c>
      <c r="U53" s="29">
        <v>44180</v>
      </c>
      <c r="V53" s="30">
        <v>0.65277777777777779</v>
      </c>
      <c r="W53" s="14">
        <f t="shared" si="4"/>
        <v>12</v>
      </c>
    </row>
    <row r="54" spans="1:23" x14ac:dyDescent="0.35">
      <c r="A54" t="str">
        <f t="shared" si="0"/>
        <v>ESTUDIO SEGUIMIENTO DESEMPEÑO AMBIENTAL ACUICULTURA EN CHILE Y SU EFECTO EN LOS ECOSISTEMAS DE EMPLAZAMIENTO 2020-2021</v>
      </c>
      <c r="B54" t="str">
        <f t="shared" si="1"/>
        <v>Objetivo 1. Actividad 2. Muestreos y Analisis sedimentos</v>
      </c>
      <c r="C54" t="str">
        <f t="shared" si="2"/>
        <v>Gastón Vidal</v>
      </c>
      <c r="D54" t="str">
        <f t="shared" si="3"/>
        <v>INSTITUTO DE FOMENTO PESQUERO</v>
      </c>
      <c r="E54" s="15" t="s">
        <v>40</v>
      </c>
      <c r="F54" s="16" t="s">
        <v>108</v>
      </c>
      <c r="G54" s="17">
        <v>13</v>
      </c>
      <c r="H54" s="19" t="s">
        <v>119</v>
      </c>
      <c r="I54" s="19" t="s">
        <v>120</v>
      </c>
      <c r="J54" s="23">
        <v>7.6933333333333342</v>
      </c>
      <c r="K54" s="38">
        <v>0.1650252505931542</v>
      </c>
      <c r="L54" s="23">
        <v>12.133333333333333</v>
      </c>
      <c r="M54" s="38">
        <v>5.7735026918962373E-2</v>
      </c>
      <c r="N54" s="23">
        <v>400.56666666666661</v>
      </c>
      <c r="O54" s="38">
        <v>2.9569128044860018</v>
      </c>
      <c r="P54" s="23">
        <v>0.05</v>
      </c>
      <c r="Q54" s="38"/>
      <c r="R54" s="23">
        <v>1.1912107284518012</v>
      </c>
      <c r="S54" s="19">
        <v>10</v>
      </c>
      <c r="T54" s="19">
        <v>11.36</v>
      </c>
      <c r="U54" s="29">
        <v>44180</v>
      </c>
      <c r="V54" s="30">
        <v>0.63194444444444442</v>
      </c>
      <c r="W54" s="14">
        <f t="shared" si="4"/>
        <v>13</v>
      </c>
    </row>
    <row r="55" spans="1:23" x14ac:dyDescent="0.35">
      <c r="A55" t="str">
        <f t="shared" si="0"/>
        <v>ESTUDIO SEGUIMIENTO DESEMPEÑO AMBIENTAL ACUICULTURA EN CHILE Y SU EFECTO EN LOS ECOSISTEMAS DE EMPLAZAMIENTO 2020-2021</v>
      </c>
      <c r="B55" t="str">
        <f t="shared" si="1"/>
        <v>Objetivo 1. Actividad 2. Muestreos y Analisis sedimentos</v>
      </c>
      <c r="C55" t="str">
        <f t="shared" si="2"/>
        <v>Gastón Vidal</v>
      </c>
      <c r="D55" t="str">
        <f t="shared" si="3"/>
        <v>INSTITUTO DE FOMENTO PESQUERO</v>
      </c>
      <c r="E55" s="15" t="s">
        <v>40</v>
      </c>
      <c r="F55" s="16" t="s">
        <v>108</v>
      </c>
      <c r="G55" s="17">
        <v>14</v>
      </c>
      <c r="H55" s="19" t="s">
        <v>121</v>
      </c>
      <c r="I55" s="19" t="s">
        <v>122</v>
      </c>
      <c r="J55" s="23">
        <v>7.5366666666666662</v>
      </c>
      <c r="K55" s="38">
        <v>0.17953644012660311</v>
      </c>
      <c r="L55" s="23">
        <v>11.633333333333333</v>
      </c>
      <c r="M55" s="38">
        <v>0.15275252316519508</v>
      </c>
      <c r="N55" s="23">
        <v>421.5</v>
      </c>
      <c r="O55" s="38">
        <v>63.730604892782615</v>
      </c>
      <c r="P55" s="23">
        <v>0.05</v>
      </c>
      <c r="Q55" s="38"/>
      <c r="R55" s="23">
        <v>1.236250759160533</v>
      </c>
      <c r="S55" s="19">
        <v>8</v>
      </c>
      <c r="T55" s="19">
        <v>11.14</v>
      </c>
      <c r="U55" s="29">
        <v>44180</v>
      </c>
      <c r="V55" s="30">
        <v>0.61111111111111105</v>
      </c>
      <c r="W55" s="14">
        <f t="shared" si="4"/>
        <v>14</v>
      </c>
    </row>
    <row r="56" spans="1:23" x14ac:dyDescent="0.35">
      <c r="A56" t="str">
        <f t="shared" si="0"/>
        <v>ESTUDIO SEGUIMIENTO DESEMPEÑO AMBIENTAL ACUICULTURA EN CHILE Y SU EFECTO EN LOS ECOSISTEMAS DE EMPLAZAMIENTO 2020-2021</v>
      </c>
      <c r="B56" t="str">
        <f t="shared" si="1"/>
        <v>Objetivo 1. Actividad 2. Muestreos y Analisis sedimentos</v>
      </c>
      <c r="C56" t="str">
        <f t="shared" si="2"/>
        <v>Gastón Vidal</v>
      </c>
      <c r="D56" t="str">
        <f t="shared" si="3"/>
        <v>INSTITUTO DE FOMENTO PESQUERO</v>
      </c>
      <c r="E56" s="15" t="s">
        <v>40</v>
      </c>
      <c r="F56" s="16" t="s">
        <v>123</v>
      </c>
      <c r="G56" s="17">
        <v>3</v>
      </c>
      <c r="H56" s="19" t="s">
        <v>124</v>
      </c>
      <c r="I56" s="19" t="s">
        <v>125</v>
      </c>
      <c r="J56" s="23">
        <v>7.7266666666666666</v>
      </c>
      <c r="K56" s="38">
        <v>0.11015141094572192</v>
      </c>
      <c r="L56" s="23">
        <v>11.1</v>
      </c>
      <c r="M56" s="38">
        <v>0.45825756949558416</v>
      </c>
      <c r="N56" s="23">
        <v>577.46666666666658</v>
      </c>
      <c r="O56" s="38">
        <v>18.801418386210489</v>
      </c>
      <c r="P56" s="23">
        <v>11.416778573674407</v>
      </c>
      <c r="Q56" s="38">
        <v>19.766381671830604</v>
      </c>
      <c r="R56" s="23">
        <v>0.87226960176883217</v>
      </c>
      <c r="S56" s="23">
        <v>5</v>
      </c>
      <c r="T56" s="23" t="s">
        <v>402</v>
      </c>
      <c r="U56" s="29">
        <v>44118</v>
      </c>
      <c r="V56" s="30">
        <v>0.375</v>
      </c>
      <c r="W56" s="14">
        <f t="shared" si="4"/>
        <v>3</v>
      </c>
    </row>
    <row r="57" spans="1:23" x14ac:dyDescent="0.35">
      <c r="A57" t="str">
        <f t="shared" si="0"/>
        <v>ESTUDIO SEGUIMIENTO DESEMPEÑO AMBIENTAL ACUICULTURA EN CHILE Y SU EFECTO EN LOS ECOSISTEMAS DE EMPLAZAMIENTO 2020-2021</v>
      </c>
      <c r="B57" t="str">
        <f t="shared" si="1"/>
        <v>Objetivo 1. Actividad 2. Muestreos y Analisis sedimentos</v>
      </c>
      <c r="C57" t="str">
        <f t="shared" si="2"/>
        <v>Gastón Vidal</v>
      </c>
      <c r="D57" t="str">
        <f t="shared" si="3"/>
        <v>INSTITUTO DE FOMENTO PESQUERO</v>
      </c>
      <c r="E57" s="15" t="s">
        <v>40</v>
      </c>
      <c r="F57" s="16" t="s">
        <v>123</v>
      </c>
      <c r="G57" s="17">
        <v>4</v>
      </c>
      <c r="H57" s="19" t="s">
        <v>126</v>
      </c>
      <c r="I57" s="19" t="s">
        <v>127</v>
      </c>
      <c r="J57" s="23">
        <v>7.34</v>
      </c>
      <c r="K57" s="38">
        <v>0.26000000000000012</v>
      </c>
      <c r="L57" s="23">
        <v>10.933333333333332</v>
      </c>
      <c r="M57" s="38">
        <v>0.32145502536643233</v>
      </c>
      <c r="N57" s="23">
        <v>593.1</v>
      </c>
      <c r="O57" s="38">
        <v>13.168523075880625</v>
      </c>
      <c r="P57" s="23">
        <v>0.05</v>
      </c>
      <c r="Q57" s="38"/>
      <c r="R57" s="23">
        <v>1.1936728018356617</v>
      </c>
      <c r="S57" s="23">
        <v>5</v>
      </c>
      <c r="T57" s="23" t="s">
        <v>402</v>
      </c>
      <c r="U57" s="29">
        <v>44118</v>
      </c>
      <c r="V57" s="30">
        <v>0.3923611111111111</v>
      </c>
      <c r="W57" s="14">
        <f t="shared" si="4"/>
        <v>4</v>
      </c>
    </row>
    <row r="58" spans="1:23" x14ac:dyDescent="0.35">
      <c r="A58" t="str">
        <f t="shared" si="0"/>
        <v>ESTUDIO SEGUIMIENTO DESEMPEÑO AMBIENTAL ACUICULTURA EN CHILE Y SU EFECTO EN LOS ECOSISTEMAS DE EMPLAZAMIENTO 2020-2021</v>
      </c>
      <c r="B58" t="str">
        <f t="shared" si="1"/>
        <v>Objetivo 1. Actividad 2. Muestreos y Analisis sedimentos</v>
      </c>
      <c r="C58" t="str">
        <f t="shared" si="2"/>
        <v>Gastón Vidal</v>
      </c>
      <c r="D58" t="str">
        <f t="shared" si="3"/>
        <v>INSTITUTO DE FOMENTO PESQUERO</v>
      </c>
      <c r="E58" s="15" t="s">
        <v>40</v>
      </c>
      <c r="F58" s="16" t="s">
        <v>123</v>
      </c>
      <c r="G58" s="17">
        <v>7</v>
      </c>
      <c r="H58" s="19" t="s">
        <v>128</v>
      </c>
      <c r="I58" s="19" t="s">
        <v>129</v>
      </c>
      <c r="J58" s="23">
        <v>7.6933333333333342</v>
      </c>
      <c r="K58" s="38">
        <v>1.5275252316519529E-2</v>
      </c>
      <c r="L58" s="23">
        <v>13.333333333333334</v>
      </c>
      <c r="M58" s="38">
        <v>1.3576941236277531</v>
      </c>
      <c r="N58" s="23">
        <v>415.2</v>
      </c>
      <c r="O58" s="38">
        <v>12.801171821360743</v>
      </c>
      <c r="P58" s="23">
        <v>0.05</v>
      </c>
      <c r="Q58" s="38"/>
      <c r="R58" s="23">
        <v>0.71525842210429114</v>
      </c>
      <c r="S58" s="23">
        <v>12</v>
      </c>
      <c r="T58" s="23">
        <v>10.97</v>
      </c>
      <c r="U58" s="29">
        <v>44181</v>
      </c>
      <c r="V58" s="30">
        <v>0.58472222222222225</v>
      </c>
      <c r="W58" s="14">
        <f t="shared" si="4"/>
        <v>7</v>
      </c>
    </row>
    <row r="59" spans="1:23" x14ac:dyDescent="0.35">
      <c r="A59" t="str">
        <f t="shared" si="0"/>
        <v>ESTUDIO SEGUIMIENTO DESEMPEÑO AMBIENTAL ACUICULTURA EN CHILE Y SU EFECTO EN LOS ECOSISTEMAS DE EMPLAZAMIENTO 2020-2021</v>
      </c>
      <c r="B59" t="str">
        <f t="shared" si="1"/>
        <v>Objetivo 1. Actividad 2. Muestreos y Analisis sedimentos</v>
      </c>
      <c r="C59" t="str">
        <f t="shared" si="2"/>
        <v>Gastón Vidal</v>
      </c>
      <c r="D59" t="str">
        <f t="shared" si="3"/>
        <v>INSTITUTO DE FOMENTO PESQUERO</v>
      </c>
      <c r="E59" s="15" t="s">
        <v>40</v>
      </c>
      <c r="F59" s="16" t="s">
        <v>123</v>
      </c>
      <c r="G59" s="17">
        <v>10</v>
      </c>
      <c r="H59" s="19" t="s">
        <v>130</v>
      </c>
      <c r="I59" s="19" t="s">
        <v>131</v>
      </c>
      <c r="J59" s="23">
        <v>7.4233333333333329</v>
      </c>
      <c r="K59" s="38">
        <v>3.5118845842842597E-2</v>
      </c>
      <c r="L59" s="23">
        <v>12.9</v>
      </c>
      <c r="M59" s="38">
        <v>0.79372539331937708</v>
      </c>
      <c r="N59" s="23">
        <v>354.56666666666666</v>
      </c>
      <c r="O59" s="38">
        <v>24.116660907624279</v>
      </c>
      <c r="P59" s="23">
        <v>0.05</v>
      </c>
      <c r="Q59" s="38"/>
      <c r="R59" s="23">
        <v>1.4490770685108525</v>
      </c>
      <c r="S59" s="23">
        <v>8.5</v>
      </c>
      <c r="T59" s="23">
        <v>11.18</v>
      </c>
      <c r="U59" s="29">
        <v>44181</v>
      </c>
      <c r="V59" s="30">
        <v>0.54513888888888895</v>
      </c>
      <c r="W59" s="14">
        <f t="shared" si="4"/>
        <v>10</v>
      </c>
    </row>
    <row r="60" spans="1:23" x14ac:dyDescent="0.35">
      <c r="A60" t="str">
        <f t="shared" si="0"/>
        <v>ESTUDIO SEGUIMIENTO DESEMPEÑO AMBIENTAL ACUICULTURA EN CHILE Y SU EFECTO EN LOS ECOSISTEMAS DE EMPLAZAMIENTO 2020-2021</v>
      </c>
      <c r="B60" t="str">
        <f t="shared" si="1"/>
        <v>Objetivo 1. Actividad 2. Muestreos y Analisis sedimentos</v>
      </c>
      <c r="C60" t="str">
        <f t="shared" si="2"/>
        <v>Gastón Vidal</v>
      </c>
      <c r="D60" t="str">
        <f t="shared" si="3"/>
        <v>INSTITUTO DE FOMENTO PESQUERO</v>
      </c>
      <c r="E60" s="15" t="s">
        <v>40</v>
      </c>
      <c r="F60" s="16" t="s">
        <v>123</v>
      </c>
      <c r="G60" s="17">
        <v>13</v>
      </c>
      <c r="H60" s="19" t="s">
        <v>132</v>
      </c>
      <c r="I60" s="19" t="s">
        <v>133</v>
      </c>
      <c r="J60" s="23">
        <v>7.7266666666666666</v>
      </c>
      <c r="K60" s="38">
        <v>6.6583281184793536E-2</v>
      </c>
      <c r="L60" s="23">
        <v>12.5</v>
      </c>
      <c r="M60" s="38">
        <v>0.19999999999999929</v>
      </c>
      <c r="N60" s="23">
        <v>333.33333333333331</v>
      </c>
      <c r="O60" s="38">
        <v>17.972293491186203</v>
      </c>
      <c r="P60" s="23">
        <v>0.05</v>
      </c>
      <c r="Q60" s="38"/>
      <c r="R60" s="23">
        <v>1.1261084516989497</v>
      </c>
      <c r="S60" s="23">
        <v>3.5</v>
      </c>
      <c r="T60" s="23">
        <v>11.45</v>
      </c>
      <c r="U60" s="29">
        <v>44181</v>
      </c>
      <c r="V60" s="30">
        <v>0.62847222222222221</v>
      </c>
      <c r="W60" s="14">
        <f t="shared" si="4"/>
        <v>13</v>
      </c>
    </row>
    <row r="61" spans="1:23" x14ac:dyDescent="0.35">
      <c r="A61" t="str">
        <f t="shared" si="0"/>
        <v>ESTUDIO SEGUIMIENTO DESEMPEÑO AMBIENTAL ACUICULTURA EN CHILE Y SU EFECTO EN LOS ECOSISTEMAS DE EMPLAZAMIENTO 2020-2021</v>
      </c>
      <c r="B61" t="str">
        <f t="shared" si="1"/>
        <v>Objetivo 1. Actividad 2. Muestreos y Analisis sedimentos</v>
      </c>
      <c r="C61" t="str">
        <f t="shared" si="2"/>
        <v>Gastón Vidal</v>
      </c>
      <c r="D61" t="str">
        <f t="shared" si="3"/>
        <v>INSTITUTO DE FOMENTO PESQUERO</v>
      </c>
      <c r="E61" s="15" t="s">
        <v>40</v>
      </c>
      <c r="F61" s="16" t="s">
        <v>134</v>
      </c>
      <c r="G61" s="17">
        <v>2</v>
      </c>
      <c r="H61" s="19" t="s">
        <v>135</v>
      </c>
      <c r="I61" s="19" t="s">
        <v>136</v>
      </c>
      <c r="J61" s="23">
        <v>7.5</v>
      </c>
      <c r="K61" s="38">
        <v>0.26057628441590752</v>
      </c>
      <c r="L61" s="23">
        <v>12.6</v>
      </c>
      <c r="M61" s="38">
        <v>9.9999999999999645E-2</v>
      </c>
      <c r="N61" s="23">
        <v>230.46666666666667</v>
      </c>
      <c r="O61" s="38">
        <v>74.806171759643732</v>
      </c>
      <c r="P61" s="23">
        <v>41.37680391209652</v>
      </c>
      <c r="Q61" s="38">
        <v>51.294097974003023</v>
      </c>
      <c r="R61" s="23">
        <v>1.1020809392609794</v>
      </c>
      <c r="S61" s="23">
        <v>4.4000000000000004</v>
      </c>
      <c r="T61" s="23">
        <v>12.15</v>
      </c>
      <c r="U61" s="29">
        <v>44181</v>
      </c>
      <c r="V61" s="30">
        <v>0.70833333333333337</v>
      </c>
      <c r="W61" s="14">
        <f t="shared" si="4"/>
        <v>2</v>
      </c>
    </row>
    <row r="62" spans="1:23" x14ac:dyDescent="0.35">
      <c r="A62" t="str">
        <f t="shared" si="0"/>
        <v>ESTUDIO SEGUIMIENTO DESEMPEÑO AMBIENTAL ACUICULTURA EN CHILE Y SU EFECTO EN LOS ECOSISTEMAS DE EMPLAZAMIENTO 2020-2021</v>
      </c>
      <c r="B62" t="str">
        <f t="shared" si="1"/>
        <v>Objetivo 1. Actividad 2. Muestreos y Analisis sedimentos</v>
      </c>
      <c r="C62" t="str">
        <f t="shared" si="2"/>
        <v>Gastón Vidal</v>
      </c>
      <c r="D62" t="str">
        <f t="shared" si="3"/>
        <v>INSTITUTO DE FOMENTO PESQUERO</v>
      </c>
      <c r="E62" s="15" t="s">
        <v>40</v>
      </c>
      <c r="F62" s="16" t="s">
        <v>134</v>
      </c>
      <c r="G62" s="17">
        <v>3</v>
      </c>
      <c r="H62" s="19" t="s">
        <v>137</v>
      </c>
      <c r="I62" s="19" t="s">
        <v>138</v>
      </c>
      <c r="J62" s="23">
        <v>7.4033333333333333</v>
      </c>
      <c r="K62" s="38">
        <v>2.0816659994661382E-2</v>
      </c>
      <c r="L62" s="23">
        <v>12.366666666666665</v>
      </c>
      <c r="M62" s="38">
        <v>0.20816659994661327</v>
      </c>
      <c r="N62" s="23">
        <v>367.39999999999992</v>
      </c>
      <c r="O62" s="38">
        <v>23.302360395462088</v>
      </c>
      <c r="P62" s="23">
        <v>0.05</v>
      </c>
      <c r="Q62" s="38"/>
      <c r="R62" s="23">
        <v>1.130001409298816</v>
      </c>
      <c r="S62" s="23">
        <v>12</v>
      </c>
      <c r="T62" s="23">
        <v>11.9</v>
      </c>
      <c r="U62" s="29">
        <v>44181</v>
      </c>
      <c r="V62" s="30">
        <v>0.75555555555555554</v>
      </c>
      <c r="W62" s="14">
        <f t="shared" si="4"/>
        <v>3</v>
      </c>
    </row>
    <row r="63" spans="1:23" x14ac:dyDescent="0.35">
      <c r="A63" t="str">
        <f t="shared" si="0"/>
        <v>ESTUDIO SEGUIMIENTO DESEMPEÑO AMBIENTAL ACUICULTURA EN CHILE Y SU EFECTO EN LOS ECOSISTEMAS DE EMPLAZAMIENTO 2020-2021</v>
      </c>
      <c r="B63" t="str">
        <f t="shared" si="1"/>
        <v>Objetivo 1. Actividad 2. Muestreos y Analisis sedimentos</v>
      </c>
      <c r="C63" t="str">
        <f t="shared" si="2"/>
        <v>Gastón Vidal</v>
      </c>
      <c r="D63" t="str">
        <f t="shared" si="3"/>
        <v>INSTITUTO DE FOMENTO PESQUERO</v>
      </c>
      <c r="E63" s="15" t="s">
        <v>40</v>
      </c>
      <c r="F63" s="16" t="s">
        <v>134</v>
      </c>
      <c r="G63" s="17">
        <v>6</v>
      </c>
      <c r="H63" s="19" t="s">
        <v>139</v>
      </c>
      <c r="I63" s="19" t="s">
        <v>140</v>
      </c>
      <c r="J63" s="23">
        <v>7.4333333333333336</v>
      </c>
      <c r="K63" s="38">
        <v>0.27428695436227618</v>
      </c>
      <c r="L63" s="23">
        <v>12.266666666666666</v>
      </c>
      <c r="M63" s="38">
        <v>5.77350269189634E-2</v>
      </c>
      <c r="N63" s="23">
        <v>274.16666666666669</v>
      </c>
      <c r="O63" s="38">
        <v>91.349457214223932</v>
      </c>
      <c r="P63" s="23">
        <v>0.05</v>
      </c>
      <c r="Q63" s="38"/>
      <c r="R63" s="23">
        <v>1.0628494969768461</v>
      </c>
      <c r="S63" s="23">
        <v>8.5</v>
      </c>
      <c r="T63" s="23">
        <v>12.33</v>
      </c>
      <c r="U63" s="29">
        <v>44181</v>
      </c>
      <c r="V63" s="30">
        <v>0.73263888888888884</v>
      </c>
      <c r="W63" s="14">
        <f t="shared" si="4"/>
        <v>6</v>
      </c>
    </row>
    <row r="64" spans="1:23" x14ac:dyDescent="0.35">
      <c r="A64" t="str">
        <f t="shared" si="0"/>
        <v>ESTUDIO SEGUIMIENTO DESEMPEÑO AMBIENTAL ACUICULTURA EN CHILE Y SU EFECTO EN LOS ECOSISTEMAS DE EMPLAZAMIENTO 2020-2021</v>
      </c>
      <c r="B64" t="str">
        <f t="shared" si="1"/>
        <v>Objetivo 1. Actividad 2. Muestreos y Analisis sedimentos</v>
      </c>
      <c r="C64" t="str">
        <f t="shared" si="2"/>
        <v>Gastón Vidal</v>
      </c>
      <c r="D64" t="str">
        <f t="shared" si="3"/>
        <v>INSTITUTO DE FOMENTO PESQUERO</v>
      </c>
      <c r="E64" s="15" t="s">
        <v>40</v>
      </c>
      <c r="F64" s="16" t="s">
        <v>134</v>
      </c>
      <c r="G64" s="17">
        <v>9</v>
      </c>
      <c r="H64" s="19" t="s">
        <v>141</v>
      </c>
      <c r="I64" s="19" t="s">
        <v>142</v>
      </c>
      <c r="J64" s="23">
        <v>7.5200000000000005</v>
      </c>
      <c r="K64" s="38">
        <v>0.22649503305812255</v>
      </c>
      <c r="L64" s="23">
        <v>12.9</v>
      </c>
      <c r="M64" s="38">
        <v>9.9999999999999645E-2</v>
      </c>
      <c r="N64" s="23">
        <v>342.86666666666662</v>
      </c>
      <c r="O64" s="38">
        <v>29.899219610774676</v>
      </c>
      <c r="P64" s="23">
        <v>0.05</v>
      </c>
      <c r="Q64" s="38"/>
      <c r="R64" s="23">
        <v>0.89608198462788091</v>
      </c>
      <c r="S64" s="23">
        <v>12.8</v>
      </c>
      <c r="T64" s="23">
        <v>12.54</v>
      </c>
      <c r="U64" s="29">
        <v>44181</v>
      </c>
      <c r="V64" s="30">
        <v>0.69166666666666676</v>
      </c>
      <c r="W64" s="14">
        <f t="shared" si="4"/>
        <v>9</v>
      </c>
    </row>
    <row r="65" spans="1:23" x14ac:dyDescent="0.35">
      <c r="A65" t="str">
        <f t="shared" si="0"/>
        <v>ESTUDIO SEGUIMIENTO DESEMPEÑO AMBIENTAL ACUICULTURA EN CHILE Y SU EFECTO EN LOS ECOSISTEMAS DE EMPLAZAMIENTO 2020-2021</v>
      </c>
      <c r="B65" t="str">
        <f t="shared" si="1"/>
        <v>Objetivo 1. Actividad 2. Muestreos y Analisis sedimentos</v>
      </c>
      <c r="C65" t="str">
        <f t="shared" si="2"/>
        <v>Gastón Vidal</v>
      </c>
      <c r="D65" t="str">
        <f t="shared" si="3"/>
        <v>INSTITUTO DE FOMENTO PESQUERO</v>
      </c>
      <c r="E65" s="15" t="s">
        <v>40</v>
      </c>
      <c r="F65" s="16" t="s">
        <v>134</v>
      </c>
      <c r="G65" s="17">
        <v>14</v>
      </c>
      <c r="H65" s="19" t="s">
        <v>143</v>
      </c>
      <c r="I65" s="19" t="s">
        <v>144</v>
      </c>
      <c r="J65" s="23">
        <v>7.4533333333333331</v>
      </c>
      <c r="K65" s="38">
        <v>0.13428824718989124</v>
      </c>
      <c r="L65" s="23">
        <v>12.366666666666667</v>
      </c>
      <c r="M65" s="38">
        <v>5.7735026918962373E-2</v>
      </c>
      <c r="N65" s="23">
        <v>313.93333333333334</v>
      </c>
      <c r="O65" s="38">
        <v>19.8802246801522</v>
      </c>
      <c r="P65" s="23">
        <v>0.05</v>
      </c>
      <c r="Q65" s="38"/>
      <c r="R65" s="23">
        <v>1.0258392937689185</v>
      </c>
      <c r="S65" s="23">
        <v>5</v>
      </c>
      <c r="T65" s="23">
        <v>12.33</v>
      </c>
      <c r="U65" s="29">
        <v>44181</v>
      </c>
      <c r="V65" s="30">
        <v>0.67083333333333339</v>
      </c>
      <c r="W65" s="14">
        <f t="shared" si="4"/>
        <v>14</v>
      </c>
    </row>
    <row r="66" spans="1:23" x14ac:dyDescent="0.35">
      <c r="A66" t="str">
        <f t="shared" si="0"/>
        <v>ESTUDIO SEGUIMIENTO DESEMPEÑO AMBIENTAL ACUICULTURA EN CHILE Y SU EFECTO EN LOS ECOSISTEMAS DE EMPLAZAMIENTO 2020-2021</v>
      </c>
      <c r="B66" t="str">
        <f t="shared" si="1"/>
        <v>Objetivo 1. Actividad 2. Muestreos y Analisis sedimentos</v>
      </c>
      <c r="C66" t="str">
        <f t="shared" si="2"/>
        <v>Gastón Vidal</v>
      </c>
      <c r="D66" t="str">
        <f t="shared" si="3"/>
        <v>INSTITUTO DE FOMENTO PESQUERO</v>
      </c>
      <c r="E66" s="15" t="s">
        <v>40</v>
      </c>
      <c r="F66" s="16" t="s">
        <v>145</v>
      </c>
      <c r="G66" s="17">
        <v>1</v>
      </c>
      <c r="H66" s="19" t="s">
        <v>146</v>
      </c>
      <c r="I66" s="19" t="s">
        <v>147</v>
      </c>
      <c r="J66" s="23">
        <v>7.37</v>
      </c>
      <c r="K66" s="38">
        <v>6.0000000000000053E-2</v>
      </c>
      <c r="L66" s="23">
        <v>12.433333333333335</v>
      </c>
      <c r="M66" s="38">
        <v>0.35118845842842517</v>
      </c>
      <c r="N66" s="23">
        <v>144.46666666666667</v>
      </c>
      <c r="O66" s="38">
        <v>10.424170630478642</v>
      </c>
      <c r="P66" s="23">
        <v>0.05</v>
      </c>
      <c r="Q66" s="38"/>
      <c r="R66" s="23">
        <v>1.627414659962968</v>
      </c>
      <c r="S66" s="34">
        <v>4</v>
      </c>
      <c r="T66" s="34">
        <v>12.69</v>
      </c>
      <c r="U66" s="29">
        <v>44182</v>
      </c>
      <c r="V66" s="30">
        <v>0.55208333333333337</v>
      </c>
      <c r="W66" s="14">
        <f t="shared" si="4"/>
        <v>1</v>
      </c>
    </row>
    <row r="67" spans="1:23" x14ac:dyDescent="0.35">
      <c r="A67" t="str">
        <f t="shared" si="0"/>
        <v>ESTUDIO SEGUIMIENTO DESEMPEÑO AMBIENTAL ACUICULTURA EN CHILE Y SU EFECTO EN LOS ECOSISTEMAS DE EMPLAZAMIENTO 2020-2021</v>
      </c>
      <c r="B67" t="str">
        <f t="shared" si="1"/>
        <v>Objetivo 1. Actividad 2. Muestreos y Analisis sedimentos</v>
      </c>
      <c r="C67" t="str">
        <f t="shared" si="2"/>
        <v>Gastón Vidal</v>
      </c>
      <c r="D67" t="str">
        <f t="shared" si="3"/>
        <v>INSTITUTO DE FOMENTO PESQUERO</v>
      </c>
      <c r="E67" s="15" t="s">
        <v>40</v>
      </c>
      <c r="F67" s="16" t="s">
        <v>145</v>
      </c>
      <c r="G67" s="17">
        <v>4</v>
      </c>
      <c r="H67" s="19" t="s">
        <v>148</v>
      </c>
      <c r="I67" s="19" t="s">
        <v>149</v>
      </c>
      <c r="J67" s="23">
        <v>7.56</v>
      </c>
      <c r="K67" s="38">
        <v>9.6436507609929334E-2</v>
      </c>
      <c r="L67" s="23">
        <v>12.799999999999999</v>
      </c>
      <c r="M67" s="38">
        <v>0.26457513110645914</v>
      </c>
      <c r="N67" s="23">
        <v>289.16666666666669</v>
      </c>
      <c r="O67" s="38">
        <v>80.162917445245895</v>
      </c>
      <c r="P67" s="23">
        <v>338.44458245425119</v>
      </c>
      <c r="Q67" s="38">
        <v>64.522790029319026</v>
      </c>
      <c r="R67" s="23">
        <v>1.5729312084479079</v>
      </c>
      <c r="S67" s="34">
        <v>6</v>
      </c>
      <c r="T67" s="34">
        <v>11.69</v>
      </c>
      <c r="U67" s="29">
        <v>44182</v>
      </c>
      <c r="V67" s="30">
        <v>0.48749999999999999</v>
      </c>
      <c r="W67" s="14">
        <f t="shared" si="4"/>
        <v>4</v>
      </c>
    </row>
    <row r="68" spans="1:23" x14ac:dyDescent="0.35">
      <c r="A68" t="str">
        <f t="shared" si="0"/>
        <v>ESTUDIO SEGUIMIENTO DESEMPEÑO AMBIENTAL ACUICULTURA EN CHILE Y SU EFECTO EN LOS ECOSISTEMAS DE EMPLAZAMIENTO 2020-2021</v>
      </c>
      <c r="B68" t="str">
        <f t="shared" si="1"/>
        <v>Objetivo 1. Actividad 2. Muestreos y Analisis sedimentos</v>
      </c>
      <c r="C68" t="str">
        <f t="shared" si="2"/>
        <v>Gastón Vidal</v>
      </c>
      <c r="D68" t="str">
        <f t="shared" si="3"/>
        <v>INSTITUTO DE FOMENTO PESQUERO</v>
      </c>
      <c r="E68" s="15" t="s">
        <v>40</v>
      </c>
      <c r="F68" s="16" t="s">
        <v>145</v>
      </c>
      <c r="G68" s="17">
        <v>6</v>
      </c>
      <c r="H68" s="19" t="s">
        <v>150</v>
      </c>
      <c r="I68" s="19" t="s">
        <v>151</v>
      </c>
      <c r="J68" s="23">
        <v>7.626666666666666</v>
      </c>
      <c r="K68" s="38">
        <v>0.2074447717666878</v>
      </c>
      <c r="L68" s="23">
        <v>12.966666666666667</v>
      </c>
      <c r="M68" s="38">
        <v>0.15275252316519414</v>
      </c>
      <c r="N68" s="23">
        <v>218.96666666666667</v>
      </c>
      <c r="O68" s="38">
        <v>87.800018982533956</v>
      </c>
      <c r="P68" s="23">
        <v>186.69658429976803</v>
      </c>
      <c r="Q68" s="38">
        <v>119.06266058835627</v>
      </c>
      <c r="R68" s="23">
        <v>1.0570913799898525</v>
      </c>
      <c r="S68" s="34">
        <v>6</v>
      </c>
      <c r="T68" s="34">
        <v>11.76</v>
      </c>
      <c r="U68" s="29">
        <v>44182</v>
      </c>
      <c r="V68" s="30">
        <v>0.46180555555555558</v>
      </c>
      <c r="W68" s="14">
        <f t="shared" si="4"/>
        <v>6</v>
      </c>
    </row>
    <row r="69" spans="1:23" x14ac:dyDescent="0.35">
      <c r="A69" t="str">
        <f t="shared" si="0"/>
        <v>ESTUDIO SEGUIMIENTO DESEMPEÑO AMBIENTAL ACUICULTURA EN CHILE Y SU EFECTO EN LOS ECOSISTEMAS DE EMPLAZAMIENTO 2020-2021</v>
      </c>
      <c r="B69" t="str">
        <f t="shared" si="1"/>
        <v>Objetivo 1. Actividad 2. Muestreos y Analisis sedimentos</v>
      </c>
      <c r="C69" t="str">
        <f t="shared" si="2"/>
        <v>Gastón Vidal</v>
      </c>
      <c r="D69" t="str">
        <f t="shared" si="3"/>
        <v>INSTITUTO DE FOMENTO PESQUERO</v>
      </c>
      <c r="E69" s="15" t="s">
        <v>40</v>
      </c>
      <c r="F69" s="16" t="s">
        <v>145</v>
      </c>
      <c r="G69" s="17">
        <v>7</v>
      </c>
      <c r="H69" s="19" t="s">
        <v>152</v>
      </c>
      <c r="I69" s="19" t="s">
        <v>153</v>
      </c>
      <c r="J69" s="23">
        <v>7.3966666666666656</v>
      </c>
      <c r="K69" s="38">
        <v>0.12503332889007368</v>
      </c>
      <c r="L69" s="23">
        <v>15.133333333333335</v>
      </c>
      <c r="M69" s="38">
        <v>0.58594652770823208</v>
      </c>
      <c r="N69" s="23">
        <v>561.36666666666667</v>
      </c>
      <c r="O69" s="38">
        <v>20.468838104136054</v>
      </c>
      <c r="P69" s="23">
        <v>0.05</v>
      </c>
      <c r="Q69" s="38"/>
      <c r="R69" s="23">
        <v>1.1353929852688167</v>
      </c>
      <c r="S69" s="34">
        <v>13</v>
      </c>
      <c r="T69" s="34">
        <v>11.61</v>
      </c>
      <c r="U69" s="29">
        <v>44182</v>
      </c>
      <c r="V69" s="30">
        <v>0.35069444444444442</v>
      </c>
      <c r="W69" s="14">
        <f t="shared" si="4"/>
        <v>7</v>
      </c>
    </row>
    <row r="70" spans="1:23" x14ac:dyDescent="0.35">
      <c r="A70" t="str">
        <f t="shared" si="0"/>
        <v>ESTUDIO SEGUIMIENTO DESEMPEÑO AMBIENTAL ACUICULTURA EN CHILE Y SU EFECTO EN LOS ECOSISTEMAS DE EMPLAZAMIENTO 2020-2021</v>
      </c>
      <c r="B70" t="str">
        <f t="shared" si="1"/>
        <v>Objetivo 1. Actividad 2. Muestreos y Analisis sedimentos</v>
      </c>
      <c r="C70" t="str">
        <f t="shared" si="2"/>
        <v>Gastón Vidal</v>
      </c>
      <c r="D70" t="str">
        <f t="shared" si="3"/>
        <v>INSTITUTO DE FOMENTO PESQUERO</v>
      </c>
      <c r="E70" s="15" t="s">
        <v>40</v>
      </c>
      <c r="F70" s="16" t="s">
        <v>145</v>
      </c>
      <c r="G70" s="17">
        <v>11</v>
      </c>
      <c r="H70" s="19" t="s">
        <v>154</v>
      </c>
      <c r="I70" s="19" t="s">
        <v>155</v>
      </c>
      <c r="J70" s="23">
        <v>7.5166666666666666</v>
      </c>
      <c r="K70" s="38">
        <v>5.8594652770822916E-2</v>
      </c>
      <c r="L70" s="23">
        <v>15.6</v>
      </c>
      <c r="M70" s="38">
        <v>0.40000000000000036</v>
      </c>
      <c r="N70" s="23">
        <v>298.7</v>
      </c>
      <c r="O70" s="38">
        <v>117.608460580011</v>
      </c>
      <c r="P70" s="23">
        <v>0.05</v>
      </c>
      <c r="Q70" s="38"/>
      <c r="R70" s="23">
        <v>1.0447526413758619</v>
      </c>
      <c r="S70" s="34">
        <v>14.2</v>
      </c>
      <c r="T70" s="34">
        <v>12.02</v>
      </c>
      <c r="U70" s="29">
        <v>44182</v>
      </c>
      <c r="V70" s="30">
        <v>0.38125000000000003</v>
      </c>
      <c r="W70" s="14">
        <f t="shared" si="4"/>
        <v>11</v>
      </c>
    </row>
    <row r="71" spans="1:23" x14ac:dyDescent="0.35">
      <c r="A71" t="str">
        <f t="shared" si="0"/>
        <v>ESTUDIO SEGUIMIENTO DESEMPEÑO AMBIENTAL ACUICULTURA EN CHILE Y SU EFECTO EN LOS ECOSISTEMAS DE EMPLAZAMIENTO 2020-2021</v>
      </c>
      <c r="B71" t="str">
        <f t="shared" si="1"/>
        <v>Objetivo 1. Actividad 2. Muestreos y Analisis sedimentos</v>
      </c>
      <c r="C71" t="str">
        <f t="shared" si="2"/>
        <v>Gastón Vidal</v>
      </c>
      <c r="D71" t="str">
        <f t="shared" si="3"/>
        <v>INSTITUTO DE FOMENTO PESQUERO</v>
      </c>
      <c r="E71" s="15" t="s">
        <v>40</v>
      </c>
      <c r="F71" s="16" t="s">
        <v>145</v>
      </c>
      <c r="G71" s="17">
        <v>12</v>
      </c>
      <c r="H71" s="19" t="s">
        <v>156</v>
      </c>
      <c r="I71" s="19" t="s">
        <v>157</v>
      </c>
      <c r="J71" s="23">
        <v>7.3500000000000005</v>
      </c>
      <c r="K71" s="38">
        <v>0.13228756555322957</v>
      </c>
      <c r="L71" s="23">
        <v>14.866666666666667</v>
      </c>
      <c r="M71" s="38">
        <v>0.30550504633038905</v>
      </c>
      <c r="N71" s="23">
        <v>285.56666666666666</v>
      </c>
      <c r="O71" s="38">
        <v>95.622504324731693</v>
      </c>
      <c r="P71" s="23">
        <v>41.495719324742772</v>
      </c>
      <c r="Q71" s="38">
        <v>71.279687527334346</v>
      </c>
      <c r="R71" s="23">
        <v>1.1054509722796815</v>
      </c>
      <c r="S71" s="34">
        <v>4.5999999999999996</v>
      </c>
      <c r="T71" s="34">
        <v>11.76</v>
      </c>
      <c r="U71" s="29">
        <v>44182</v>
      </c>
      <c r="V71" s="30">
        <v>0.4152777777777778</v>
      </c>
      <c r="W71" s="14">
        <f t="shared" si="4"/>
        <v>12</v>
      </c>
    </row>
    <row r="72" spans="1:23" x14ac:dyDescent="0.35">
      <c r="A72" t="str">
        <f t="shared" si="0"/>
        <v>ESTUDIO SEGUIMIENTO DESEMPEÑO AMBIENTAL ACUICULTURA EN CHILE Y SU EFECTO EN LOS ECOSISTEMAS DE EMPLAZAMIENTO 2020-2021</v>
      </c>
      <c r="B72" t="str">
        <f t="shared" si="1"/>
        <v>Objetivo 1. Actividad 2. Muestreos y Analisis sedimentos</v>
      </c>
      <c r="C72" t="str">
        <f t="shared" si="2"/>
        <v>Gastón Vidal</v>
      </c>
      <c r="D72" t="str">
        <f t="shared" si="3"/>
        <v>INSTITUTO DE FOMENTO PESQUERO</v>
      </c>
      <c r="E72" s="15" t="s">
        <v>40</v>
      </c>
      <c r="F72" s="16" t="s">
        <v>145</v>
      </c>
      <c r="G72" s="17">
        <v>16</v>
      </c>
      <c r="H72" s="19" t="s">
        <v>158</v>
      </c>
      <c r="I72" s="19" t="s">
        <v>159</v>
      </c>
      <c r="J72" s="23">
        <v>7.2966666666666669</v>
      </c>
      <c r="K72" s="38">
        <v>4.725815626252592E-2</v>
      </c>
      <c r="L72" s="23">
        <v>11.433333333333332</v>
      </c>
      <c r="M72" s="38">
        <v>0.7571877794400369</v>
      </c>
      <c r="N72" s="23">
        <v>410.76666666666671</v>
      </c>
      <c r="O72" s="38">
        <v>77.901112529496558</v>
      </c>
      <c r="P72" s="23">
        <v>10.521394444043365</v>
      </c>
      <c r="Q72" s="38">
        <v>15.991156904976489</v>
      </c>
      <c r="R72" s="23">
        <v>1.0001748120770375</v>
      </c>
      <c r="S72" s="34">
        <v>6.5</v>
      </c>
      <c r="T72" s="34" t="s">
        <v>402</v>
      </c>
      <c r="U72" s="29">
        <v>44117</v>
      </c>
      <c r="V72" s="30">
        <v>0.64583333333333337</v>
      </c>
      <c r="W72" s="14">
        <f t="shared" si="4"/>
        <v>16</v>
      </c>
    </row>
    <row r="73" spans="1:23" x14ac:dyDescent="0.35">
      <c r="A73" t="str">
        <f t="shared" si="0"/>
        <v>ESTUDIO SEGUIMIENTO DESEMPEÑO AMBIENTAL ACUICULTURA EN CHILE Y SU EFECTO EN LOS ECOSISTEMAS DE EMPLAZAMIENTO 2020-2021</v>
      </c>
      <c r="B73" t="str">
        <f t="shared" si="1"/>
        <v>Objetivo 1. Actividad 2. Muestreos y Analisis sedimentos</v>
      </c>
      <c r="C73" t="str">
        <f t="shared" si="2"/>
        <v>Gastón Vidal</v>
      </c>
      <c r="D73" t="str">
        <f t="shared" si="3"/>
        <v>INSTITUTO DE FOMENTO PESQUERO</v>
      </c>
      <c r="E73" s="15" t="s">
        <v>40</v>
      </c>
      <c r="F73" s="16" t="s">
        <v>145</v>
      </c>
      <c r="G73" s="17">
        <v>26</v>
      </c>
      <c r="H73" s="19" t="s">
        <v>160</v>
      </c>
      <c r="I73" s="19" t="s">
        <v>161</v>
      </c>
      <c r="J73" s="23">
        <v>7.3900000000000006</v>
      </c>
      <c r="K73" s="38">
        <v>8.544003745317573E-2</v>
      </c>
      <c r="L73" s="23">
        <v>11.5</v>
      </c>
      <c r="M73" s="38">
        <v>0.52915026221291794</v>
      </c>
      <c r="N73" s="23">
        <v>301.43333333333334</v>
      </c>
      <c r="O73" s="38">
        <v>9.0897378033325538</v>
      </c>
      <c r="P73" s="23">
        <v>9.9991224446685099</v>
      </c>
      <c r="Q73" s="38">
        <v>11.645167129440713</v>
      </c>
      <c r="R73" s="23">
        <v>1.0115120941663298</v>
      </c>
      <c r="S73" s="34">
        <v>5</v>
      </c>
      <c r="T73" s="34" t="s">
        <v>402</v>
      </c>
      <c r="U73" s="29">
        <v>44117</v>
      </c>
      <c r="V73" s="30">
        <v>0.74652777777777779</v>
      </c>
      <c r="W73" s="14">
        <f t="shared" si="4"/>
        <v>26</v>
      </c>
    </row>
    <row r="74" spans="1:23" x14ac:dyDescent="0.35">
      <c r="A74" t="str">
        <f t="shared" si="0"/>
        <v>ESTUDIO SEGUIMIENTO DESEMPEÑO AMBIENTAL ACUICULTURA EN CHILE Y SU EFECTO EN LOS ECOSISTEMAS DE EMPLAZAMIENTO 2020-2021</v>
      </c>
      <c r="B74" t="str">
        <f t="shared" si="1"/>
        <v>Objetivo 1. Actividad 2. Muestreos y Analisis sedimentos</v>
      </c>
      <c r="C74" t="str">
        <f t="shared" si="2"/>
        <v>Gastón Vidal</v>
      </c>
      <c r="D74" t="str">
        <f t="shared" si="3"/>
        <v>INSTITUTO DE FOMENTO PESQUERO</v>
      </c>
      <c r="E74" s="15" t="s">
        <v>40</v>
      </c>
      <c r="F74" s="16" t="s">
        <v>162</v>
      </c>
      <c r="G74" s="17">
        <v>1</v>
      </c>
      <c r="H74" s="19" t="s">
        <v>163</v>
      </c>
      <c r="I74" s="19" t="s">
        <v>164</v>
      </c>
      <c r="J74" s="23">
        <v>7.663333333333334</v>
      </c>
      <c r="K74" s="38">
        <v>0.14571661996262955</v>
      </c>
      <c r="L74" s="23">
        <v>14.100000000000001</v>
      </c>
      <c r="M74" s="38">
        <v>0.91651513899116743</v>
      </c>
      <c r="N74" s="23">
        <v>419.5333333333333</v>
      </c>
      <c r="O74" s="38">
        <v>5.2993710318615488</v>
      </c>
      <c r="P74" s="23">
        <v>0.05</v>
      </c>
      <c r="Q74" s="38"/>
      <c r="R74" s="23">
        <v>1.0389310923508448</v>
      </c>
      <c r="S74" s="19">
        <v>3.3</v>
      </c>
      <c r="T74" s="19">
        <v>11.59</v>
      </c>
      <c r="U74" s="29">
        <v>44183</v>
      </c>
      <c r="V74" s="30">
        <v>0.54861111111111105</v>
      </c>
      <c r="W74" s="14">
        <f t="shared" si="4"/>
        <v>1</v>
      </c>
    </row>
    <row r="75" spans="1:23" x14ac:dyDescent="0.35">
      <c r="A75" t="str">
        <f t="shared" si="0"/>
        <v>ESTUDIO SEGUIMIENTO DESEMPEÑO AMBIENTAL ACUICULTURA EN CHILE Y SU EFECTO EN LOS ECOSISTEMAS DE EMPLAZAMIENTO 2020-2021</v>
      </c>
      <c r="B75" t="str">
        <f t="shared" si="1"/>
        <v>Objetivo 1. Actividad 2. Muestreos y Analisis sedimentos</v>
      </c>
      <c r="C75" t="str">
        <f t="shared" si="2"/>
        <v>Gastón Vidal</v>
      </c>
      <c r="D75" t="str">
        <f t="shared" si="3"/>
        <v>INSTITUTO DE FOMENTO PESQUERO</v>
      </c>
      <c r="E75" s="15" t="s">
        <v>40</v>
      </c>
      <c r="F75" s="16" t="s">
        <v>162</v>
      </c>
      <c r="G75" s="17">
        <v>2</v>
      </c>
      <c r="H75" s="19" t="s">
        <v>165</v>
      </c>
      <c r="I75" s="19" t="s">
        <v>166</v>
      </c>
      <c r="J75" s="23">
        <v>7.5633333333333335</v>
      </c>
      <c r="K75" s="38">
        <v>1.1547005383792781E-2</v>
      </c>
      <c r="L75" s="23">
        <v>12.766666666666666</v>
      </c>
      <c r="M75" s="38">
        <v>5.77350269189634E-2</v>
      </c>
      <c r="N75" s="23">
        <v>259.43333333333334</v>
      </c>
      <c r="O75" s="38">
        <v>91.262606435129584</v>
      </c>
      <c r="P75" s="23">
        <v>102.18861668063846</v>
      </c>
      <c r="Q75" s="38">
        <v>82.127968142511548</v>
      </c>
      <c r="R75" s="23">
        <v>1.0998818742616692</v>
      </c>
      <c r="S75" s="19">
        <v>3.2</v>
      </c>
      <c r="T75" s="19">
        <v>11</v>
      </c>
      <c r="U75" s="29">
        <v>44183</v>
      </c>
      <c r="V75" s="30">
        <v>0.47569444444444442</v>
      </c>
      <c r="W75" s="14">
        <f t="shared" si="4"/>
        <v>2</v>
      </c>
    </row>
    <row r="76" spans="1:23" x14ac:dyDescent="0.35">
      <c r="A76" t="str">
        <f t="shared" si="0"/>
        <v>ESTUDIO SEGUIMIENTO DESEMPEÑO AMBIENTAL ACUICULTURA EN CHILE Y SU EFECTO EN LOS ECOSISTEMAS DE EMPLAZAMIENTO 2020-2021</v>
      </c>
      <c r="B76" t="str">
        <f t="shared" si="1"/>
        <v>Objetivo 1. Actividad 2. Muestreos y Analisis sedimentos</v>
      </c>
      <c r="C76" t="str">
        <f t="shared" si="2"/>
        <v>Gastón Vidal</v>
      </c>
      <c r="D76" t="str">
        <f t="shared" si="3"/>
        <v>INSTITUTO DE FOMENTO PESQUERO</v>
      </c>
      <c r="E76" s="15" t="s">
        <v>40</v>
      </c>
      <c r="F76" s="16" t="s">
        <v>162</v>
      </c>
      <c r="G76" s="17">
        <v>3</v>
      </c>
      <c r="H76" s="19" t="s">
        <v>167</v>
      </c>
      <c r="I76" s="19" t="s">
        <v>168</v>
      </c>
      <c r="J76" s="23">
        <v>7.6133333333333333</v>
      </c>
      <c r="K76" s="38">
        <v>6.0277137733417148E-2</v>
      </c>
      <c r="L76" s="23">
        <v>11.966666666666667</v>
      </c>
      <c r="M76" s="38">
        <v>5.7735026918962373E-2</v>
      </c>
      <c r="N76" s="23">
        <v>402.9666666666667</v>
      </c>
      <c r="O76" s="38">
        <v>16.836369363177237</v>
      </c>
      <c r="P76" s="23">
        <v>0.05</v>
      </c>
      <c r="Q76" s="38"/>
      <c r="R76" s="23">
        <v>1.2674602628500451</v>
      </c>
      <c r="S76" s="19">
        <v>8.5</v>
      </c>
      <c r="T76" s="19">
        <v>11</v>
      </c>
      <c r="U76" s="29">
        <v>44183</v>
      </c>
      <c r="V76" s="30">
        <v>0.49305555555555558</v>
      </c>
      <c r="W76" s="14">
        <f t="shared" si="4"/>
        <v>3</v>
      </c>
    </row>
    <row r="77" spans="1:23" x14ac:dyDescent="0.35">
      <c r="A77" t="str">
        <f t="shared" si="0"/>
        <v>ESTUDIO SEGUIMIENTO DESEMPEÑO AMBIENTAL ACUICULTURA EN CHILE Y SU EFECTO EN LOS ECOSISTEMAS DE EMPLAZAMIENTO 2020-2021</v>
      </c>
      <c r="B77" t="str">
        <f t="shared" si="1"/>
        <v>Objetivo 1. Actividad 2. Muestreos y Analisis sedimentos</v>
      </c>
      <c r="C77" t="str">
        <f t="shared" si="2"/>
        <v>Gastón Vidal</v>
      </c>
      <c r="D77" t="str">
        <f t="shared" si="3"/>
        <v>INSTITUTO DE FOMENTO PESQUERO</v>
      </c>
      <c r="E77" s="15" t="s">
        <v>40</v>
      </c>
      <c r="F77" s="16" t="s">
        <v>162</v>
      </c>
      <c r="G77" s="17">
        <v>6</v>
      </c>
      <c r="H77" s="19" t="s">
        <v>169</v>
      </c>
      <c r="I77" s="19" t="s">
        <v>170</v>
      </c>
      <c r="J77" s="23">
        <v>7.336666666666666</v>
      </c>
      <c r="K77" s="38">
        <v>8.504900548115378E-2</v>
      </c>
      <c r="L77" s="23">
        <v>11.866666666666667</v>
      </c>
      <c r="M77" s="38">
        <v>0.11547005383792475</v>
      </c>
      <c r="N77" s="23">
        <v>332.0333333333333</v>
      </c>
      <c r="O77" s="38">
        <v>139.305790738696</v>
      </c>
      <c r="P77" s="23">
        <v>0.05</v>
      </c>
      <c r="Q77" s="38"/>
      <c r="R77" s="23">
        <v>0.94589988313206186</v>
      </c>
      <c r="S77" s="19">
        <v>4</v>
      </c>
      <c r="T77" s="19">
        <v>10.87</v>
      </c>
      <c r="U77" s="29">
        <v>44183</v>
      </c>
      <c r="V77" s="30">
        <v>0.4513888888888889</v>
      </c>
      <c r="W77" s="14">
        <f t="shared" si="4"/>
        <v>6</v>
      </c>
    </row>
    <row r="78" spans="1:23" x14ac:dyDescent="0.35">
      <c r="A78" t="str">
        <f t="shared" si="0"/>
        <v>ESTUDIO SEGUIMIENTO DESEMPEÑO AMBIENTAL ACUICULTURA EN CHILE Y SU EFECTO EN LOS ECOSISTEMAS DE EMPLAZAMIENTO 2020-2021</v>
      </c>
      <c r="B78" t="str">
        <f t="shared" si="1"/>
        <v>Objetivo 1. Actividad 2. Muestreos y Analisis sedimentos</v>
      </c>
      <c r="C78" t="str">
        <f t="shared" si="2"/>
        <v>Gastón Vidal</v>
      </c>
      <c r="D78" t="str">
        <f t="shared" si="3"/>
        <v>INSTITUTO DE FOMENTO PESQUERO</v>
      </c>
      <c r="E78" s="15" t="s">
        <v>40</v>
      </c>
      <c r="F78" s="16" t="s">
        <v>171</v>
      </c>
      <c r="G78" s="17">
        <v>6</v>
      </c>
      <c r="H78" s="19" t="s">
        <v>172</v>
      </c>
      <c r="I78" s="19" t="s">
        <v>173</v>
      </c>
      <c r="J78" s="23">
        <v>7.3833333333333329</v>
      </c>
      <c r="K78" s="38">
        <v>9.0184995056457731E-2</v>
      </c>
      <c r="L78" s="23">
        <v>10.299999999999999</v>
      </c>
      <c r="M78" s="38">
        <v>0.17320508075688812</v>
      </c>
      <c r="N78" s="23">
        <v>410.7</v>
      </c>
      <c r="O78" s="38">
        <v>14.853619087616329</v>
      </c>
      <c r="P78" s="23">
        <v>0.05</v>
      </c>
      <c r="Q78" s="38"/>
      <c r="R78" s="23">
        <v>0.77196422007106036</v>
      </c>
      <c r="S78" s="19">
        <v>6.5</v>
      </c>
      <c r="T78" s="19" t="s">
        <v>407</v>
      </c>
      <c r="U78" s="29">
        <v>44115</v>
      </c>
      <c r="V78" s="30">
        <v>0.67013888888888884</v>
      </c>
      <c r="W78" s="14">
        <f t="shared" si="4"/>
        <v>6</v>
      </c>
    </row>
    <row r="79" spans="1:23" x14ac:dyDescent="0.35">
      <c r="A79" t="str">
        <f t="shared" si="0"/>
        <v>ESTUDIO SEGUIMIENTO DESEMPEÑO AMBIENTAL ACUICULTURA EN CHILE Y SU EFECTO EN LOS ECOSISTEMAS DE EMPLAZAMIENTO 2020-2021</v>
      </c>
      <c r="B79" t="str">
        <f t="shared" si="1"/>
        <v>Objetivo 1. Actividad 2. Muestreos y Analisis sedimentos</v>
      </c>
      <c r="C79" t="str">
        <f t="shared" si="2"/>
        <v>Gastón Vidal</v>
      </c>
      <c r="D79" t="str">
        <f t="shared" si="3"/>
        <v>INSTITUTO DE FOMENTO PESQUERO</v>
      </c>
      <c r="E79" s="15" t="s">
        <v>40</v>
      </c>
      <c r="F79" s="16" t="s">
        <v>171</v>
      </c>
      <c r="G79" s="17">
        <v>8</v>
      </c>
      <c r="H79" s="19" t="s">
        <v>174</v>
      </c>
      <c r="I79" s="19" t="s">
        <v>175</v>
      </c>
      <c r="J79" s="23">
        <v>7.3433333333333328</v>
      </c>
      <c r="K79" s="38">
        <v>0.14843629385474882</v>
      </c>
      <c r="L79" s="23">
        <v>11.399999999999999</v>
      </c>
      <c r="M79" s="38">
        <v>0.62449979983984027</v>
      </c>
      <c r="N79" s="23">
        <v>59.6</v>
      </c>
      <c r="O79" s="38">
        <v>11.784311604841408</v>
      </c>
      <c r="P79" s="23">
        <v>376.06624121006007</v>
      </c>
      <c r="Q79" s="38">
        <v>83.098908532966263</v>
      </c>
      <c r="R79" s="23">
        <v>11.260839727993034</v>
      </c>
      <c r="S79" s="19">
        <v>6.5</v>
      </c>
      <c r="T79" s="19" t="s">
        <v>407</v>
      </c>
      <c r="U79" s="29">
        <v>44115</v>
      </c>
      <c r="V79" s="30">
        <v>0.56944444444444442</v>
      </c>
      <c r="W79" s="14">
        <f t="shared" si="4"/>
        <v>8</v>
      </c>
    </row>
    <row r="80" spans="1:23" x14ac:dyDescent="0.35">
      <c r="A80" t="str">
        <f t="shared" si="0"/>
        <v>ESTUDIO SEGUIMIENTO DESEMPEÑO AMBIENTAL ACUICULTURA EN CHILE Y SU EFECTO EN LOS ECOSISTEMAS DE EMPLAZAMIENTO 2020-2021</v>
      </c>
      <c r="B80" t="str">
        <f t="shared" si="1"/>
        <v>Objetivo 1. Actividad 2. Muestreos y Analisis sedimentos</v>
      </c>
      <c r="C80" t="str">
        <f t="shared" si="2"/>
        <v>Gastón Vidal</v>
      </c>
      <c r="D80" t="str">
        <f t="shared" si="3"/>
        <v>INSTITUTO DE FOMENTO PESQUERO</v>
      </c>
      <c r="E80" s="15" t="s">
        <v>40</v>
      </c>
      <c r="F80" s="16" t="s">
        <v>171</v>
      </c>
      <c r="G80" s="17">
        <v>11</v>
      </c>
      <c r="H80" s="19" t="s">
        <v>176</v>
      </c>
      <c r="I80" s="19" t="s">
        <v>177</v>
      </c>
      <c r="J80" s="23">
        <v>7.1433333333333335</v>
      </c>
      <c r="K80" s="38">
        <v>0.12897028081435399</v>
      </c>
      <c r="L80" s="23">
        <v>11.266666666666666</v>
      </c>
      <c r="M80" s="38">
        <v>0.35118845842842428</v>
      </c>
      <c r="N80" s="23">
        <v>303.63333333333333</v>
      </c>
      <c r="O80" s="38">
        <v>29.7742058388353</v>
      </c>
      <c r="P80" s="23">
        <v>19.040232473902144</v>
      </c>
      <c r="Q80" s="38">
        <v>18.219171840368364</v>
      </c>
      <c r="R80" s="23">
        <v>1.2086644450141051</v>
      </c>
      <c r="S80" s="19">
        <v>9</v>
      </c>
      <c r="T80" s="19" t="s">
        <v>407</v>
      </c>
      <c r="U80" s="29">
        <v>44115</v>
      </c>
      <c r="V80" s="30">
        <v>0.625</v>
      </c>
      <c r="W80" s="14">
        <f t="shared" si="4"/>
        <v>11</v>
      </c>
    </row>
    <row r="81" spans="1:23" x14ac:dyDescent="0.35">
      <c r="A81" t="str">
        <f t="shared" si="0"/>
        <v>ESTUDIO SEGUIMIENTO DESEMPEÑO AMBIENTAL ACUICULTURA EN CHILE Y SU EFECTO EN LOS ECOSISTEMAS DE EMPLAZAMIENTO 2020-2021</v>
      </c>
      <c r="B81" t="str">
        <f t="shared" si="1"/>
        <v>Objetivo 1. Actividad 2. Muestreos y Analisis sedimentos</v>
      </c>
      <c r="C81" t="str">
        <f t="shared" si="2"/>
        <v>Gastón Vidal</v>
      </c>
      <c r="D81" t="str">
        <f t="shared" si="3"/>
        <v>INSTITUTO DE FOMENTO PESQUERO</v>
      </c>
      <c r="E81" s="15" t="s">
        <v>40</v>
      </c>
      <c r="F81" s="16" t="s">
        <v>171</v>
      </c>
      <c r="G81" s="17">
        <v>12</v>
      </c>
      <c r="H81" s="19" t="s">
        <v>178</v>
      </c>
      <c r="I81" s="19" t="s">
        <v>179</v>
      </c>
      <c r="J81" s="23">
        <v>7.2366666666666672</v>
      </c>
      <c r="K81" s="38">
        <v>0.13316656236958757</v>
      </c>
      <c r="L81" s="23">
        <v>10.466666666666667</v>
      </c>
      <c r="M81" s="38">
        <v>5.7735026918962373E-2</v>
      </c>
      <c r="N81" s="23">
        <v>380.13333333333338</v>
      </c>
      <c r="O81" s="38">
        <v>96.496338445213951</v>
      </c>
      <c r="P81" s="23">
        <v>15.669780447091455</v>
      </c>
      <c r="Q81" s="38">
        <v>13.736771678282491</v>
      </c>
      <c r="R81" s="23">
        <v>1.3880448594000365</v>
      </c>
      <c r="S81" s="19">
        <v>5.5</v>
      </c>
      <c r="T81" s="19" t="s">
        <v>407</v>
      </c>
      <c r="U81" s="29">
        <v>44116</v>
      </c>
      <c r="V81" s="30">
        <v>0.38194444444444442</v>
      </c>
      <c r="W81" s="14">
        <f t="shared" si="4"/>
        <v>12</v>
      </c>
    </row>
    <row r="82" spans="1:23" x14ac:dyDescent="0.35">
      <c r="A82" t="str">
        <f t="shared" ref="A82:A145" si="5">$B$1</f>
        <v>ESTUDIO SEGUIMIENTO DESEMPEÑO AMBIENTAL ACUICULTURA EN CHILE Y SU EFECTO EN LOS ECOSISTEMAS DE EMPLAZAMIENTO 2020-2021</v>
      </c>
      <c r="B82" t="str">
        <f t="shared" ref="B82:B145" si="6">$B$2</f>
        <v>Objetivo 1. Actividad 2. Muestreos y Analisis sedimentos</v>
      </c>
      <c r="C82" t="str">
        <f t="shared" ref="C82:C145" si="7">$B$3</f>
        <v>Gastón Vidal</v>
      </c>
      <c r="D82" t="str">
        <f t="shared" ref="D82:D145" si="8">$B$4</f>
        <v>INSTITUTO DE FOMENTO PESQUERO</v>
      </c>
      <c r="E82" s="15" t="s">
        <v>40</v>
      </c>
      <c r="F82" s="16" t="s">
        <v>171</v>
      </c>
      <c r="G82" s="17">
        <v>13</v>
      </c>
      <c r="H82" s="19" t="s">
        <v>180</v>
      </c>
      <c r="I82" s="19" t="s">
        <v>181</v>
      </c>
      <c r="J82" s="23">
        <v>7.16</v>
      </c>
      <c r="K82" s="38">
        <v>0.15099668870541536</v>
      </c>
      <c r="L82" s="23">
        <v>10.633333333333333</v>
      </c>
      <c r="M82" s="38">
        <v>0.15275252316519508</v>
      </c>
      <c r="N82" s="23">
        <v>297.66666666666669</v>
      </c>
      <c r="O82" s="38">
        <v>159.68044129865547</v>
      </c>
      <c r="P82" s="23">
        <v>197.24888342453951</v>
      </c>
      <c r="Q82" s="38">
        <v>108.09665478470147</v>
      </c>
      <c r="R82" s="23">
        <v>2.2471740313123618</v>
      </c>
      <c r="S82" s="19">
        <v>5</v>
      </c>
      <c r="T82" s="19" t="s">
        <v>407</v>
      </c>
      <c r="U82" s="29">
        <v>44116</v>
      </c>
      <c r="V82" s="30">
        <v>0.55208333333333337</v>
      </c>
      <c r="W82" s="14">
        <f t="shared" ref="W82:W145" si="9">G82</f>
        <v>13</v>
      </c>
    </row>
    <row r="83" spans="1:23" x14ac:dyDescent="0.35">
      <c r="A83" t="str">
        <f t="shared" si="5"/>
        <v>ESTUDIO SEGUIMIENTO DESEMPEÑO AMBIENTAL ACUICULTURA EN CHILE Y SU EFECTO EN LOS ECOSISTEMAS DE EMPLAZAMIENTO 2020-2021</v>
      </c>
      <c r="B83" t="str">
        <f t="shared" si="6"/>
        <v>Objetivo 1. Actividad 2. Muestreos y Analisis sedimentos</v>
      </c>
      <c r="C83" t="str">
        <f t="shared" si="7"/>
        <v>Gastón Vidal</v>
      </c>
      <c r="D83" t="str">
        <f t="shared" si="8"/>
        <v>INSTITUTO DE FOMENTO PESQUERO</v>
      </c>
      <c r="E83" s="15" t="s">
        <v>40</v>
      </c>
      <c r="F83" s="16" t="s">
        <v>171</v>
      </c>
      <c r="G83" s="17">
        <v>19</v>
      </c>
      <c r="H83" s="19" t="s">
        <v>182</v>
      </c>
      <c r="I83" s="19" t="s">
        <v>183</v>
      </c>
      <c r="J83" s="23">
        <v>7.4200000000000008</v>
      </c>
      <c r="K83" s="38">
        <v>9.1651513899116688E-2</v>
      </c>
      <c r="L83" s="23">
        <v>11.266666666666666</v>
      </c>
      <c r="M83" s="38">
        <v>0.20816659994661352</v>
      </c>
      <c r="N83" s="23">
        <v>546.23333333333323</v>
      </c>
      <c r="O83" s="38">
        <v>15.700424622707915</v>
      </c>
      <c r="P83" s="23">
        <v>0.05</v>
      </c>
      <c r="Q83" s="38"/>
      <c r="R83" s="23">
        <v>0.98459563543002426</v>
      </c>
      <c r="S83" s="19">
        <v>7</v>
      </c>
      <c r="T83" s="19" t="s">
        <v>407</v>
      </c>
      <c r="U83" s="29">
        <v>44116</v>
      </c>
      <c r="V83" s="30">
        <v>0.64513888888888882</v>
      </c>
      <c r="W83" s="14">
        <f t="shared" si="9"/>
        <v>19</v>
      </c>
    </row>
    <row r="84" spans="1:23" x14ac:dyDescent="0.35">
      <c r="A84" t="str">
        <f t="shared" si="5"/>
        <v>ESTUDIO SEGUIMIENTO DESEMPEÑO AMBIENTAL ACUICULTURA EN CHILE Y SU EFECTO EN LOS ECOSISTEMAS DE EMPLAZAMIENTO 2020-2021</v>
      </c>
      <c r="B84" t="str">
        <f t="shared" si="6"/>
        <v>Objetivo 1. Actividad 2. Muestreos y Analisis sedimentos</v>
      </c>
      <c r="C84" t="str">
        <f t="shared" si="7"/>
        <v>Gastón Vidal</v>
      </c>
      <c r="D84" t="str">
        <f t="shared" si="8"/>
        <v>INSTITUTO DE FOMENTO PESQUERO</v>
      </c>
      <c r="E84" s="15" t="s">
        <v>40</v>
      </c>
      <c r="F84" s="16" t="s">
        <v>171</v>
      </c>
      <c r="G84" s="17">
        <v>21</v>
      </c>
      <c r="H84" s="19" t="s">
        <v>184</v>
      </c>
      <c r="I84" s="19" t="s">
        <v>185</v>
      </c>
      <c r="J84" s="23">
        <v>7.333333333333333</v>
      </c>
      <c r="K84" s="38">
        <v>3.2145502536643326E-2</v>
      </c>
      <c r="L84" s="23">
        <v>11.133333333333333</v>
      </c>
      <c r="M84" s="38">
        <v>0.40414518843273761</v>
      </c>
      <c r="N84" s="23">
        <v>418.63333333333338</v>
      </c>
      <c r="O84" s="38">
        <v>57.797693148890509</v>
      </c>
      <c r="P84" s="23">
        <v>0.05</v>
      </c>
      <c r="Q84" s="38"/>
      <c r="R84" s="23">
        <v>0.94764336059014087</v>
      </c>
      <c r="S84" s="19">
        <v>5.5</v>
      </c>
      <c r="T84" s="19" t="s">
        <v>407</v>
      </c>
      <c r="U84" s="29">
        <v>44116</v>
      </c>
      <c r="V84" s="30">
        <v>0.71180555555555547</v>
      </c>
      <c r="W84" s="14">
        <f t="shared" si="9"/>
        <v>21</v>
      </c>
    </row>
    <row r="85" spans="1:23" x14ac:dyDescent="0.35">
      <c r="A85" t="str">
        <f t="shared" si="5"/>
        <v>ESTUDIO SEGUIMIENTO DESEMPEÑO AMBIENTAL ACUICULTURA EN CHILE Y SU EFECTO EN LOS ECOSISTEMAS DE EMPLAZAMIENTO 2020-2021</v>
      </c>
      <c r="B85" t="str">
        <f t="shared" si="6"/>
        <v>Objetivo 1. Actividad 2. Muestreos y Analisis sedimentos</v>
      </c>
      <c r="C85" t="str">
        <f t="shared" si="7"/>
        <v>Gastón Vidal</v>
      </c>
      <c r="D85" t="str">
        <f t="shared" si="8"/>
        <v>INSTITUTO DE FOMENTO PESQUERO</v>
      </c>
      <c r="E85" s="15" t="s">
        <v>40</v>
      </c>
      <c r="F85" s="16" t="s">
        <v>171</v>
      </c>
      <c r="G85" s="17">
        <v>22</v>
      </c>
      <c r="H85" s="19" t="s">
        <v>186</v>
      </c>
      <c r="I85" s="19" t="s">
        <v>187</v>
      </c>
      <c r="J85" s="23">
        <v>7.2866666666666662</v>
      </c>
      <c r="K85" s="38">
        <v>3.5118845842842597E-2</v>
      </c>
      <c r="L85" s="23">
        <v>10.533333333333333</v>
      </c>
      <c r="M85" s="38">
        <v>0.40414518843273761</v>
      </c>
      <c r="N85" s="23">
        <v>515.30000000000007</v>
      </c>
      <c r="O85" s="38">
        <v>31.159749678070241</v>
      </c>
      <c r="P85" s="23">
        <v>0.05</v>
      </c>
      <c r="Q85" s="38"/>
      <c r="R85" s="23">
        <v>0.87408240974576523</v>
      </c>
      <c r="S85" s="19">
        <v>5</v>
      </c>
      <c r="T85" s="19" t="s">
        <v>407</v>
      </c>
      <c r="U85" s="29">
        <v>44116</v>
      </c>
      <c r="V85" s="30">
        <v>0.76041666666666663</v>
      </c>
      <c r="W85" s="14">
        <f t="shared" si="9"/>
        <v>22</v>
      </c>
    </row>
    <row r="86" spans="1:23" x14ac:dyDescent="0.35">
      <c r="A86" t="str">
        <f t="shared" si="5"/>
        <v>ESTUDIO SEGUIMIENTO DESEMPEÑO AMBIENTAL ACUICULTURA EN CHILE Y SU EFECTO EN LOS ECOSISTEMAS DE EMPLAZAMIENTO 2020-2021</v>
      </c>
      <c r="B86" t="str">
        <f t="shared" si="6"/>
        <v>Objetivo 1. Actividad 2. Muestreos y Analisis sedimentos</v>
      </c>
      <c r="C86" t="str">
        <f t="shared" si="7"/>
        <v>Gastón Vidal</v>
      </c>
      <c r="D86" t="str">
        <f t="shared" si="8"/>
        <v>INSTITUTO DE FOMENTO PESQUERO</v>
      </c>
      <c r="E86" s="15" t="s">
        <v>40</v>
      </c>
      <c r="F86" s="16" t="s">
        <v>171</v>
      </c>
      <c r="G86" s="17">
        <v>26</v>
      </c>
      <c r="H86" s="19" t="s">
        <v>188</v>
      </c>
      <c r="I86" s="19" t="s">
        <v>189</v>
      </c>
      <c r="J86" s="23">
        <v>7.3033333333333337</v>
      </c>
      <c r="K86" s="38">
        <v>9.2915732431775741E-2</v>
      </c>
      <c r="L86" s="23">
        <v>10.866666666666667</v>
      </c>
      <c r="M86" s="38">
        <v>0.30550504633038905</v>
      </c>
      <c r="N86" s="23">
        <v>486</v>
      </c>
      <c r="O86" s="38">
        <v>19.83053201505194</v>
      </c>
      <c r="P86" s="23">
        <v>63.726023027262094</v>
      </c>
      <c r="Q86" s="38">
        <v>13.167938240863128</v>
      </c>
      <c r="R86" s="23">
        <v>2.9357531760435753</v>
      </c>
      <c r="S86" s="19">
        <v>4</v>
      </c>
      <c r="T86" s="19" t="s">
        <v>407</v>
      </c>
      <c r="U86" s="29">
        <v>44117</v>
      </c>
      <c r="V86" s="30">
        <v>0.37291666666666662</v>
      </c>
      <c r="W86" s="14">
        <f t="shared" si="9"/>
        <v>26</v>
      </c>
    </row>
    <row r="87" spans="1:23" x14ac:dyDescent="0.35">
      <c r="A87" t="str">
        <f t="shared" si="5"/>
        <v>ESTUDIO SEGUIMIENTO DESEMPEÑO AMBIENTAL ACUICULTURA EN CHILE Y SU EFECTO EN LOS ECOSISTEMAS DE EMPLAZAMIENTO 2020-2021</v>
      </c>
      <c r="B87" t="str">
        <f t="shared" si="6"/>
        <v>Objetivo 1. Actividad 2. Muestreos y Analisis sedimentos</v>
      </c>
      <c r="C87" t="str">
        <f t="shared" si="7"/>
        <v>Gastón Vidal</v>
      </c>
      <c r="D87" t="str">
        <f t="shared" si="8"/>
        <v>INSTITUTO DE FOMENTO PESQUERO</v>
      </c>
      <c r="E87" s="15" t="s">
        <v>40</v>
      </c>
      <c r="F87" s="16" t="s">
        <v>171</v>
      </c>
      <c r="G87" s="17">
        <v>28</v>
      </c>
      <c r="H87" s="19" t="s">
        <v>190</v>
      </c>
      <c r="I87" s="19" t="s">
        <v>191</v>
      </c>
      <c r="J87" s="23">
        <v>7.5166666666666666</v>
      </c>
      <c r="K87" s="38">
        <v>0.11676186592091352</v>
      </c>
      <c r="L87" s="23">
        <v>10.766666666666666</v>
      </c>
      <c r="M87" s="38">
        <v>0.20816659994661352</v>
      </c>
      <c r="N87" s="23">
        <v>506.73333333333335</v>
      </c>
      <c r="O87" s="38">
        <v>39.916078631715969</v>
      </c>
      <c r="P87" s="23">
        <v>0.05</v>
      </c>
      <c r="Q87" s="38"/>
      <c r="R87" s="23">
        <v>1.8794572420321569</v>
      </c>
      <c r="S87" s="19">
        <v>4</v>
      </c>
      <c r="T87" s="19" t="s">
        <v>407</v>
      </c>
      <c r="U87" s="29">
        <v>44117</v>
      </c>
      <c r="V87" s="30">
        <v>0.40972222222222227</v>
      </c>
      <c r="W87" s="14">
        <f t="shared" si="9"/>
        <v>28</v>
      </c>
    </row>
    <row r="88" spans="1:23" x14ac:dyDescent="0.35">
      <c r="A88" t="str">
        <f t="shared" si="5"/>
        <v>ESTUDIO SEGUIMIENTO DESEMPEÑO AMBIENTAL ACUICULTURA EN CHILE Y SU EFECTO EN LOS ECOSISTEMAS DE EMPLAZAMIENTO 2020-2021</v>
      </c>
      <c r="B88" t="str">
        <f t="shared" si="6"/>
        <v>Objetivo 1. Actividad 2. Muestreos y Analisis sedimentos</v>
      </c>
      <c r="C88" t="str">
        <f t="shared" si="7"/>
        <v>Gastón Vidal</v>
      </c>
      <c r="D88" t="str">
        <f t="shared" si="8"/>
        <v>INSTITUTO DE FOMENTO PESQUERO</v>
      </c>
      <c r="E88" s="15" t="s">
        <v>40</v>
      </c>
      <c r="F88" s="16" t="s">
        <v>171</v>
      </c>
      <c r="G88" s="17">
        <v>32</v>
      </c>
      <c r="H88" s="19" t="s">
        <v>192</v>
      </c>
      <c r="I88" s="19" t="s">
        <v>193</v>
      </c>
      <c r="J88" s="23">
        <v>7.1966666666666663</v>
      </c>
      <c r="K88" s="38">
        <v>0.17156145643277021</v>
      </c>
      <c r="L88" s="23">
        <v>10.633333333333333</v>
      </c>
      <c r="M88" s="38">
        <v>0.15275252316519508</v>
      </c>
      <c r="N88" s="23">
        <v>430.9666666666667</v>
      </c>
      <c r="O88" s="38">
        <v>58.977481578423841</v>
      </c>
      <c r="P88" s="23">
        <v>40.35319714849097</v>
      </c>
      <c r="Q88" s="38">
        <v>35.328195298337626</v>
      </c>
      <c r="R88" s="23">
        <v>2.9877502240812781</v>
      </c>
      <c r="S88" s="19">
        <v>2.5</v>
      </c>
      <c r="T88" s="19" t="s">
        <v>407</v>
      </c>
      <c r="U88" s="29">
        <v>44117</v>
      </c>
      <c r="V88" s="30">
        <v>0.4680555555555555</v>
      </c>
      <c r="W88" s="14">
        <f t="shared" si="9"/>
        <v>32</v>
      </c>
    </row>
    <row r="89" spans="1:23" x14ac:dyDescent="0.35">
      <c r="A89" t="str">
        <f t="shared" si="5"/>
        <v>ESTUDIO SEGUIMIENTO DESEMPEÑO AMBIENTAL ACUICULTURA EN CHILE Y SU EFECTO EN LOS ECOSISTEMAS DE EMPLAZAMIENTO 2020-2021</v>
      </c>
      <c r="B89" t="str">
        <f t="shared" si="6"/>
        <v>Objetivo 1. Actividad 2. Muestreos y Analisis sedimentos</v>
      </c>
      <c r="C89" t="str">
        <f t="shared" si="7"/>
        <v>Gastón Vidal</v>
      </c>
      <c r="D89" t="str">
        <f t="shared" si="8"/>
        <v>INSTITUTO DE FOMENTO PESQUERO</v>
      </c>
      <c r="E89" s="15" t="s">
        <v>40</v>
      </c>
      <c r="F89" s="16" t="s">
        <v>171</v>
      </c>
      <c r="G89" s="21">
        <v>39</v>
      </c>
      <c r="H89" s="22" t="s">
        <v>194</v>
      </c>
      <c r="I89" s="22" t="s">
        <v>195</v>
      </c>
      <c r="J89" s="24">
        <v>7.4499999999999993</v>
      </c>
      <c r="K89" s="39">
        <v>0.15620499351813311</v>
      </c>
      <c r="L89" s="24">
        <v>11</v>
      </c>
      <c r="M89" s="39">
        <v>9.9999999999999645E-2</v>
      </c>
      <c r="N89" s="24">
        <v>445</v>
      </c>
      <c r="O89" s="39">
        <v>4.4911023145771392</v>
      </c>
      <c r="P89" s="23">
        <v>0.05</v>
      </c>
      <c r="Q89" s="39"/>
      <c r="R89" s="24">
        <v>0.7880932660693577</v>
      </c>
      <c r="S89" s="22">
        <v>2</v>
      </c>
      <c r="T89" s="22" t="s">
        <v>407</v>
      </c>
      <c r="U89" s="31">
        <v>44117</v>
      </c>
      <c r="V89" s="32">
        <v>0.52777777777777779</v>
      </c>
      <c r="W89" s="14">
        <f t="shared" si="9"/>
        <v>39</v>
      </c>
    </row>
    <row r="90" spans="1:23" x14ac:dyDescent="0.35">
      <c r="A90" t="str">
        <f t="shared" si="5"/>
        <v>ESTUDIO SEGUIMIENTO DESEMPEÑO AMBIENTAL ACUICULTURA EN CHILE Y SU EFECTO EN LOS ECOSISTEMAS DE EMPLAZAMIENTO 2020-2021</v>
      </c>
      <c r="B90" t="str">
        <f t="shared" si="6"/>
        <v>Objetivo 1. Actividad 2. Muestreos y Analisis sedimentos</v>
      </c>
      <c r="C90" t="str">
        <f t="shared" si="7"/>
        <v>Gastón Vidal</v>
      </c>
      <c r="D90" t="str">
        <f t="shared" si="8"/>
        <v>INSTITUTO DE FOMENTO PESQUERO</v>
      </c>
      <c r="E90" s="15" t="s">
        <v>40</v>
      </c>
      <c r="F90" s="16" t="s">
        <v>196</v>
      </c>
      <c r="G90" s="17">
        <v>3</v>
      </c>
      <c r="H90" s="19" t="s">
        <v>197</v>
      </c>
      <c r="I90" s="19" t="s">
        <v>198</v>
      </c>
      <c r="J90" s="23">
        <v>7.21</v>
      </c>
      <c r="K90" s="38">
        <v>0.14106735979665902</v>
      </c>
      <c r="L90" s="23">
        <v>12.1</v>
      </c>
      <c r="M90" s="38">
        <v>0.20000000000000018</v>
      </c>
      <c r="N90" s="23">
        <v>207.23333333333335</v>
      </c>
      <c r="O90" s="38">
        <v>24.826262975593675</v>
      </c>
      <c r="P90" s="23">
        <v>216.60747618835671</v>
      </c>
      <c r="Q90" s="38">
        <v>6.1933694381985243</v>
      </c>
      <c r="R90" s="23">
        <v>2.0500429871631582</v>
      </c>
      <c r="S90" s="34">
        <v>4</v>
      </c>
      <c r="T90" s="34">
        <v>14.17</v>
      </c>
      <c r="U90" s="29">
        <v>44185</v>
      </c>
      <c r="V90" s="30" t="s">
        <v>402</v>
      </c>
      <c r="W90" s="14">
        <f t="shared" si="9"/>
        <v>3</v>
      </c>
    </row>
    <row r="91" spans="1:23" x14ac:dyDescent="0.35">
      <c r="A91" t="str">
        <f t="shared" si="5"/>
        <v>ESTUDIO SEGUIMIENTO DESEMPEÑO AMBIENTAL ACUICULTURA EN CHILE Y SU EFECTO EN LOS ECOSISTEMAS DE EMPLAZAMIENTO 2020-2021</v>
      </c>
      <c r="B91" t="str">
        <f t="shared" si="6"/>
        <v>Objetivo 1. Actividad 2. Muestreos y Analisis sedimentos</v>
      </c>
      <c r="C91" t="str">
        <f t="shared" si="7"/>
        <v>Gastón Vidal</v>
      </c>
      <c r="D91" t="str">
        <f t="shared" si="8"/>
        <v>INSTITUTO DE FOMENTO PESQUERO</v>
      </c>
      <c r="E91" s="15" t="s">
        <v>40</v>
      </c>
      <c r="F91" s="16" t="s">
        <v>196</v>
      </c>
      <c r="G91" s="17">
        <v>6</v>
      </c>
      <c r="H91" s="19" t="s">
        <v>199</v>
      </c>
      <c r="I91" s="19" t="s">
        <v>200</v>
      </c>
      <c r="J91" s="23">
        <v>7.6133333333333333</v>
      </c>
      <c r="K91" s="38">
        <v>0.39272551907577025</v>
      </c>
      <c r="L91" s="23">
        <v>13.6</v>
      </c>
      <c r="M91" s="38">
        <v>0.20000000000000018</v>
      </c>
      <c r="N91" s="23">
        <v>409.33333333333331</v>
      </c>
      <c r="O91" s="38">
        <v>9.1221342531960818</v>
      </c>
      <c r="P91" s="23">
        <v>0.05</v>
      </c>
      <c r="Q91" s="38"/>
      <c r="R91" s="23">
        <v>1.9753189972425</v>
      </c>
      <c r="S91" s="34">
        <v>4.5</v>
      </c>
      <c r="T91" s="34">
        <v>14.91</v>
      </c>
      <c r="U91" s="29">
        <v>44186</v>
      </c>
      <c r="V91" s="30">
        <v>0.41180555555555554</v>
      </c>
      <c r="W91" s="14">
        <f t="shared" si="9"/>
        <v>6</v>
      </c>
    </row>
    <row r="92" spans="1:23" x14ac:dyDescent="0.35">
      <c r="A92" t="str">
        <f t="shared" si="5"/>
        <v>ESTUDIO SEGUIMIENTO DESEMPEÑO AMBIENTAL ACUICULTURA EN CHILE Y SU EFECTO EN LOS ECOSISTEMAS DE EMPLAZAMIENTO 2020-2021</v>
      </c>
      <c r="B92" t="str">
        <f t="shared" si="6"/>
        <v>Objetivo 1. Actividad 2. Muestreos y Analisis sedimentos</v>
      </c>
      <c r="C92" t="str">
        <f t="shared" si="7"/>
        <v>Gastón Vidal</v>
      </c>
      <c r="D92" t="str">
        <f t="shared" si="8"/>
        <v>INSTITUTO DE FOMENTO PESQUERO</v>
      </c>
      <c r="E92" s="15" t="s">
        <v>40</v>
      </c>
      <c r="F92" s="16" t="s">
        <v>196</v>
      </c>
      <c r="G92" s="17">
        <v>7</v>
      </c>
      <c r="H92" s="19" t="s">
        <v>201</v>
      </c>
      <c r="I92" s="19" t="s">
        <v>202</v>
      </c>
      <c r="J92" s="23">
        <v>7.3566666666666665</v>
      </c>
      <c r="K92" s="38">
        <v>3.2145502536643007E-2</v>
      </c>
      <c r="L92" s="23">
        <v>12.066666666666665</v>
      </c>
      <c r="M92" s="38">
        <v>0.15275252316519414</v>
      </c>
      <c r="N92" s="23">
        <v>409.5</v>
      </c>
      <c r="O92" s="38">
        <v>13.639648089302005</v>
      </c>
      <c r="P92" s="23">
        <v>0.05</v>
      </c>
      <c r="Q92" s="38"/>
      <c r="R92" s="23">
        <v>2.584322070955877</v>
      </c>
      <c r="S92" s="34">
        <v>4.5</v>
      </c>
      <c r="T92" s="34">
        <v>14.68</v>
      </c>
      <c r="U92" s="29">
        <v>44186</v>
      </c>
      <c r="V92" s="30">
        <v>0.37083333333333335</v>
      </c>
      <c r="W92" s="14">
        <f t="shared" si="9"/>
        <v>7</v>
      </c>
    </row>
    <row r="93" spans="1:23" x14ac:dyDescent="0.35">
      <c r="A93" t="str">
        <f t="shared" si="5"/>
        <v>ESTUDIO SEGUIMIENTO DESEMPEÑO AMBIENTAL ACUICULTURA EN CHILE Y SU EFECTO EN LOS ECOSISTEMAS DE EMPLAZAMIENTO 2020-2021</v>
      </c>
      <c r="B93" t="str">
        <f t="shared" si="6"/>
        <v>Objetivo 1. Actividad 2. Muestreos y Analisis sedimentos</v>
      </c>
      <c r="C93" t="str">
        <f t="shared" si="7"/>
        <v>Gastón Vidal</v>
      </c>
      <c r="D93" t="str">
        <f t="shared" si="8"/>
        <v>INSTITUTO DE FOMENTO PESQUERO</v>
      </c>
      <c r="E93" s="15" t="s">
        <v>40</v>
      </c>
      <c r="F93" s="16" t="s">
        <v>196</v>
      </c>
      <c r="G93" s="17">
        <v>13</v>
      </c>
      <c r="H93" s="19" t="s">
        <v>203</v>
      </c>
      <c r="I93" s="19" t="s">
        <v>204</v>
      </c>
      <c r="J93" s="23">
        <v>7.6933333333333325</v>
      </c>
      <c r="K93" s="38">
        <v>3.055050463303877E-2</v>
      </c>
      <c r="L93" s="23">
        <v>13.166666666666666</v>
      </c>
      <c r="M93" s="38">
        <v>5.7735026918962373E-2</v>
      </c>
      <c r="N93" s="23">
        <v>448.26666666666665</v>
      </c>
      <c r="O93" s="38">
        <v>56.27666775257179</v>
      </c>
      <c r="P93" s="23">
        <v>0.05</v>
      </c>
      <c r="Q93" s="38"/>
      <c r="R93" s="23">
        <v>1.5898851911059555</v>
      </c>
      <c r="S93" s="34">
        <v>6.5</v>
      </c>
      <c r="T93" s="34">
        <v>14.86</v>
      </c>
      <c r="U93" s="29">
        <v>44185</v>
      </c>
      <c r="V93" s="30">
        <v>0.72222222222222221</v>
      </c>
      <c r="W93" s="14">
        <f t="shared" si="9"/>
        <v>13</v>
      </c>
    </row>
    <row r="94" spans="1:23" x14ac:dyDescent="0.35">
      <c r="A94" t="str">
        <f t="shared" si="5"/>
        <v>ESTUDIO SEGUIMIENTO DESEMPEÑO AMBIENTAL ACUICULTURA EN CHILE Y SU EFECTO EN LOS ECOSISTEMAS DE EMPLAZAMIENTO 2020-2021</v>
      </c>
      <c r="B94" t="str">
        <f t="shared" si="6"/>
        <v>Objetivo 1. Actividad 2. Muestreos y Analisis sedimentos</v>
      </c>
      <c r="C94" t="str">
        <f t="shared" si="7"/>
        <v>Gastón Vidal</v>
      </c>
      <c r="D94" t="str">
        <f t="shared" si="8"/>
        <v>INSTITUTO DE FOMENTO PESQUERO</v>
      </c>
      <c r="E94" s="15" t="s">
        <v>40</v>
      </c>
      <c r="F94" s="16" t="s">
        <v>196</v>
      </c>
      <c r="G94" s="17">
        <v>14</v>
      </c>
      <c r="H94" s="19" t="s">
        <v>205</v>
      </c>
      <c r="I94" s="19" t="s">
        <v>206</v>
      </c>
      <c r="J94" s="23">
        <v>7.7600000000000007</v>
      </c>
      <c r="K94" s="38">
        <v>0.15099668870541488</v>
      </c>
      <c r="L94" s="23">
        <v>15.566666666666668</v>
      </c>
      <c r="M94" s="38">
        <v>0.3785938897200179</v>
      </c>
      <c r="N94" s="23">
        <v>342.93333333333334</v>
      </c>
      <c r="O94" s="38">
        <v>55.251274495104077</v>
      </c>
      <c r="P94" s="23">
        <v>0.05</v>
      </c>
      <c r="Q94" s="38"/>
      <c r="R94" s="23">
        <v>0.33535806691611741</v>
      </c>
      <c r="S94" s="34">
        <v>5</v>
      </c>
      <c r="T94" s="34">
        <v>14.77</v>
      </c>
      <c r="U94" s="29">
        <v>44185</v>
      </c>
      <c r="V94" s="30" t="s">
        <v>402</v>
      </c>
      <c r="W94" s="14">
        <f t="shared" si="9"/>
        <v>14</v>
      </c>
    </row>
    <row r="95" spans="1:23" x14ac:dyDescent="0.35">
      <c r="A95" t="str">
        <f t="shared" si="5"/>
        <v>ESTUDIO SEGUIMIENTO DESEMPEÑO AMBIENTAL ACUICULTURA EN CHILE Y SU EFECTO EN LOS ECOSISTEMAS DE EMPLAZAMIENTO 2020-2021</v>
      </c>
      <c r="B95" t="str">
        <f t="shared" si="6"/>
        <v>Objetivo 1. Actividad 2. Muestreos y Analisis sedimentos</v>
      </c>
      <c r="C95" t="str">
        <f t="shared" si="7"/>
        <v>Gastón Vidal</v>
      </c>
      <c r="D95" t="str">
        <f t="shared" si="8"/>
        <v>INSTITUTO DE FOMENTO PESQUERO</v>
      </c>
      <c r="E95" s="15" t="s">
        <v>40</v>
      </c>
      <c r="F95" s="16" t="s">
        <v>207</v>
      </c>
      <c r="G95" s="17">
        <v>1</v>
      </c>
      <c r="H95" s="19" t="s">
        <v>208</v>
      </c>
      <c r="I95" s="19" t="s">
        <v>209</v>
      </c>
      <c r="J95" s="23">
        <v>7.7033333333333331</v>
      </c>
      <c r="K95" s="38">
        <v>1.5275252316519142E-2</v>
      </c>
      <c r="L95" s="23">
        <v>13.766666666666666</v>
      </c>
      <c r="M95" s="38">
        <v>1.3650396819628847</v>
      </c>
      <c r="N95" s="23">
        <v>438</v>
      </c>
      <c r="O95" s="38">
        <v>17.516849031717996</v>
      </c>
      <c r="P95" s="23">
        <v>98.866899626640929</v>
      </c>
      <c r="Q95" s="38">
        <v>168.65362206186441</v>
      </c>
      <c r="R95" s="23">
        <v>1.4427533050392869</v>
      </c>
      <c r="S95" s="23">
        <v>4.5</v>
      </c>
      <c r="T95" s="23">
        <v>11.09</v>
      </c>
      <c r="U95" s="29">
        <v>44185</v>
      </c>
      <c r="V95" s="30">
        <v>0.38055555555555554</v>
      </c>
      <c r="W95" s="14">
        <f t="shared" si="9"/>
        <v>1</v>
      </c>
    </row>
    <row r="96" spans="1:23" x14ac:dyDescent="0.35">
      <c r="A96" t="str">
        <f t="shared" si="5"/>
        <v>ESTUDIO SEGUIMIENTO DESEMPEÑO AMBIENTAL ACUICULTURA EN CHILE Y SU EFECTO EN LOS ECOSISTEMAS DE EMPLAZAMIENTO 2020-2021</v>
      </c>
      <c r="B96" t="str">
        <f t="shared" si="6"/>
        <v>Objetivo 1. Actividad 2. Muestreos y Analisis sedimentos</v>
      </c>
      <c r="C96" t="str">
        <f t="shared" si="7"/>
        <v>Gastón Vidal</v>
      </c>
      <c r="D96" t="str">
        <f t="shared" si="8"/>
        <v>INSTITUTO DE FOMENTO PESQUERO</v>
      </c>
      <c r="E96" s="15" t="s">
        <v>40</v>
      </c>
      <c r="F96" s="16" t="s">
        <v>207</v>
      </c>
      <c r="G96" s="17">
        <v>2</v>
      </c>
      <c r="H96" s="19" t="s">
        <v>210</v>
      </c>
      <c r="I96" s="19" t="s">
        <v>211</v>
      </c>
      <c r="J96" s="23">
        <v>7.6033333333333326</v>
      </c>
      <c r="K96" s="38">
        <v>3.7859388972002035E-2</v>
      </c>
      <c r="L96" s="23">
        <v>12.166666666666666</v>
      </c>
      <c r="M96" s="38">
        <v>0.15275252316519491</v>
      </c>
      <c r="N96" s="23">
        <v>294.59999999999997</v>
      </c>
      <c r="O96" s="38">
        <v>80.934603230015298</v>
      </c>
      <c r="P96" s="23">
        <v>0.05</v>
      </c>
      <c r="Q96" s="38"/>
      <c r="R96" s="23">
        <v>1.1836745151289723</v>
      </c>
      <c r="S96" s="23">
        <v>3.5</v>
      </c>
      <c r="T96" s="23">
        <v>13.25</v>
      </c>
      <c r="U96" s="29">
        <v>44184</v>
      </c>
      <c r="V96" s="30">
        <v>0.79166666666666663</v>
      </c>
      <c r="W96" s="14">
        <f t="shared" si="9"/>
        <v>2</v>
      </c>
    </row>
    <row r="97" spans="1:23" x14ac:dyDescent="0.35">
      <c r="A97" t="str">
        <f t="shared" si="5"/>
        <v>ESTUDIO SEGUIMIENTO DESEMPEÑO AMBIENTAL ACUICULTURA EN CHILE Y SU EFECTO EN LOS ECOSISTEMAS DE EMPLAZAMIENTO 2020-2021</v>
      </c>
      <c r="B97" t="str">
        <f t="shared" si="6"/>
        <v>Objetivo 1. Actividad 2. Muestreos y Analisis sedimentos</v>
      </c>
      <c r="C97" t="str">
        <f t="shared" si="7"/>
        <v>Gastón Vidal</v>
      </c>
      <c r="D97" t="str">
        <f t="shared" si="8"/>
        <v>INSTITUTO DE FOMENTO PESQUERO</v>
      </c>
      <c r="E97" s="15" t="s">
        <v>40</v>
      </c>
      <c r="F97" s="16" t="s">
        <v>207</v>
      </c>
      <c r="G97" s="17">
        <v>3</v>
      </c>
      <c r="H97" s="19" t="s">
        <v>212</v>
      </c>
      <c r="I97" s="19" t="s">
        <v>213</v>
      </c>
      <c r="J97" s="23">
        <v>7.6733333333333329</v>
      </c>
      <c r="K97" s="38">
        <v>0.13428824718989141</v>
      </c>
      <c r="L97" s="23">
        <v>13.266666666666666</v>
      </c>
      <c r="M97" s="38">
        <v>0.28867513459481292</v>
      </c>
      <c r="N97" s="23">
        <v>333.86666666666667</v>
      </c>
      <c r="O97" s="38">
        <v>17.254081642710911</v>
      </c>
      <c r="P97" s="23">
        <v>0.05</v>
      </c>
      <c r="Q97" s="38"/>
      <c r="R97" s="23">
        <v>0.87059386463927013</v>
      </c>
      <c r="S97" s="23">
        <v>2.5</v>
      </c>
      <c r="T97" s="23">
        <v>13.11</v>
      </c>
      <c r="U97" s="29">
        <v>44184</v>
      </c>
      <c r="V97" s="30">
        <v>0.68055555555555547</v>
      </c>
      <c r="W97" s="14">
        <f t="shared" si="9"/>
        <v>3</v>
      </c>
    </row>
    <row r="98" spans="1:23" x14ac:dyDescent="0.35">
      <c r="A98" t="str">
        <f t="shared" si="5"/>
        <v>ESTUDIO SEGUIMIENTO DESEMPEÑO AMBIENTAL ACUICULTURA EN CHILE Y SU EFECTO EN LOS ECOSISTEMAS DE EMPLAZAMIENTO 2020-2021</v>
      </c>
      <c r="B98" t="str">
        <f t="shared" si="6"/>
        <v>Objetivo 1. Actividad 2. Muestreos y Analisis sedimentos</v>
      </c>
      <c r="C98" t="str">
        <f t="shared" si="7"/>
        <v>Gastón Vidal</v>
      </c>
      <c r="D98" t="str">
        <f t="shared" si="8"/>
        <v>INSTITUTO DE FOMENTO PESQUERO</v>
      </c>
      <c r="E98" s="15" t="s">
        <v>40</v>
      </c>
      <c r="F98" s="16" t="s">
        <v>207</v>
      </c>
      <c r="G98" s="17">
        <v>4</v>
      </c>
      <c r="H98" s="19" t="s">
        <v>214</v>
      </c>
      <c r="I98" s="19" t="s">
        <v>215</v>
      </c>
      <c r="J98" s="23">
        <v>7.3499999999999988</v>
      </c>
      <c r="K98" s="38">
        <v>9.0000000000000302E-2</v>
      </c>
      <c r="L98" s="23">
        <v>12.066666666666668</v>
      </c>
      <c r="M98" s="38">
        <v>5.7735026918962373E-2</v>
      </c>
      <c r="N98" s="23">
        <v>265.7</v>
      </c>
      <c r="O98" s="38">
        <v>59.557619159936451</v>
      </c>
      <c r="P98" s="23">
        <v>45.336202778974702</v>
      </c>
      <c r="Q98" s="38">
        <v>41.402368648775472</v>
      </c>
      <c r="R98" s="23">
        <v>1.5066718313809826</v>
      </c>
      <c r="S98" s="23">
        <v>2</v>
      </c>
      <c r="T98" s="23">
        <v>13.47</v>
      </c>
      <c r="U98" s="29">
        <v>44184</v>
      </c>
      <c r="V98" s="30">
        <v>0.63263888888888886</v>
      </c>
      <c r="W98" s="14">
        <f t="shared" si="9"/>
        <v>4</v>
      </c>
    </row>
    <row r="99" spans="1:23" x14ac:dyDescent="0.35">
      <c r="A99" t="str">
        <f t="shared" si="5"/>
        <v>ESTUDIO SEGUIMIENTO DESEMPEÑO AMBIENTAL ACUICULTURA EN CHILE Y SU EFECTO EN LOS ECOSISTEMAS DE EMPLAZAMIENTO 2020-2021</v>
      </c>
      <c r="B99" t="str">
        <f t="shared" si="6"/>
        <v>Objetivo 1. Actividad 2. Muestreos y Analisis sedimentos</v>
      </c>
      <c r="C99" t="str">
        <f t="shared" si="7"/>
        <v>Gastón Vidal</v>
      </c>
      <c r="D99" t="str">
        <f t="shared" si="8"/>
        <v>INSTITUTO DE FOMENTO PESQUERO</v>
      </c>
      <c r="E99" s="15" t="s">
        <v>40</v>
      </c>
      <c r="F99" s="16" t="s">
        <v>207</v>
      </c>
      <c r="G99" s="17">
        <v>7</v>
      </c>
      <c r="H99" s="19" t="s">
        <v>216</v>
      </c>
      <c r="I99" s="19" t="s">
        <v>217</v>
      </c>
      <c r="J99" s="23">
        <v>7.4533333333333331</v>
      </c>
      <c r="K99" s="38">
        <v>3.0550504633039158E-2</v>
      </c>
      <c r="L99" s="23">
        <v>12</v>
      </c>
      <c r="M99" s="38">
        <v>9.9999999999999645E-2</v>
      </c>
      <c r="N99" s="23">
        <v>434.63333333333338</v>
      </c>
      <c r="O99" s="38">
        <v>9.9620948265580012</v>
      </c>
      <c r="P99" s="23">
        <v>0.05</v>
      </c>
      <c r="Q99" s="38"/>
      <c r="R99" s="23">
        <v>1.1208049417308465</v>
      </c>
      <c r="S99" s="23">
        <v>7.5</v>
      </c>
      <c r="T99" s="23">
        <v>11.29</v>
      </c>
      <c r="U99" s="29">
        <v>44184</v>
      </c>
      <c r="V99" s="30">
        <v>0.4597222222222222</v>
      </c>
      <c r="W99" s="14">
        <f t="shared" si="9"/>
        <v>7</v>
      </c>
    </row>
    <row r="100" spans="1:23" x14ac:dyDescent="0.35">
      <c r="A100" t="str">
        <f t="shared" si="5"/>
        <v>ESTUDIO SEGUIMIENTO DESEMPEÑO AMBIENTAL ACUICULTURA EN CHILE Y SU EFECTO EN LOS ECOSISTEMAS DE EMPLAZAMIENTO 2020-2021</v>
      </c>
      <c r="B100" t="str">
        <f t="shared" si="6"/>
        <v>Objetivo 1. Actividad 2. Muestreos y Analisis sedimentos</v>
      </c>
      <c r="C100" t="str">
        <f t="shared" si="7"/>
        <v>Gastón Vidal</v>
      </c>
      <c r="D100" t="str">
        <f t="shared" si="8"/>
        <v>INSTITUTO DE FOMENTO PESQUERO</v>
      </c>
      <c r="E100" s="15" t="s">
        <v>40</v>
      </c>
      <c r="F100" s="16" t="s">
        <v>207</v>
      </c>
      <c r="G100" s="17">
        <v>9</v>
      </c>
      <c r="H100" s="19" t="s">
        <v>218</v>
      </c>
      <c r="I100" s="19" t="s">
        <v>219</v>
      </c>
      <c r="J100" s="23">
        <v>7.6133333333333333</v>
      </c>
      <c r="K100" s="38">
        <v>7.5055534994651521E-2</v>
      </c>
      <c r="L100" s="23">
        <v>11.933333333333332</v>
      </c>
      <c r="M100" s="38">
        <v>0.15275252316519414</v>
      </c>
      <c r="N100" s="23">
        <v>431.59999999999997</v>
      </c>
      <c r="O100" s="38">
        <v>15.326773959317059</v>
      </c>
      <c r="P100" s="23">
        <v>0.05</v>
      </c>
      <c r="Q100" s="38"/>
      <c r="R100" s="23">
        <v>0.86495741634560575</v>
      </c>
      <c r="S100" s="23">
        <v>9</v>
      </c>
      <c r="T100" s="23">
        <v>11.29</v>
      </c>
      <c r="U100" s="29">
        <v>44184</v>
      </c>
      <c r="V100" s="30">
        <v>0.41319444444444442</v>
      </c>
      <c r="W100" s="14">
        <f t="shared" si="9"/>
        <v>9</v>
      </c>
    </row>
    <row r="101" spans="1:23" x14ac:dyDescent="0.35">
      <c r="A101" t="str">
        <f t="shared" si="5"/>
        <v>ESTUDIO SEGUIMIENTO DESEMPEÑO AMBIENTAL ACUICULTURA EN CHILE Y SU EFECTO EN LOS ECOSISTEMAS DE EMPLAZAMIENTO 2020-2021</v>
      </c>
      <c r="B101" t="str">
        <f t="shared" si="6"/>
        <v>Objetivo 1. Actividad 2. Muestreos y Analisis sedimentos</v>
      </c>
      <c r="C101" t="str">
        <f t="shared" si="7"/>
        <v>Gastón Vidal</v>
      </c>
      <c r="D101" t="str">
        <f t="shared" si="8"/>
        <v>INSTITUTO DE FOMENTO PESQUERO</v>
      </c>
      <c r="E101" s="15" t="s">
        <v>40</v>
      </c>
      <c r="F101" s="16" t="s">
        <v>220</v>
      </c>
      <c r="G101" s="17">
        <v>3</v>
      </c>
      <c r="H101" s="19" t="s">
        <v>221</v>
      </c>
      <c r="I101" s="19" t="s">
        <v>222</v>
      </c>
      <c r="J101" s="23">
        <v>7.64</v>
      </c>
      <c r="K101" s="38">
        <v>0.22869193252058542</v>
      </c>
      <c r="L101" s="23">
        <v>11.833333333333334</v>
      </c>
      <c r="M101" s="38">
        <v>5.7735026918962373E-2</v>
      </c>
      <c r="N101" s="23">
        <v>421.86666666666662</v>
      </c>
      <c r="O101" s="38">
        <v>5.8002873492037557</v>
      </c>
      <c r="P101" s="23">
        <v>0.05</v>
      </c>
      <c r="Q101" s="38"/>
      <c r="R101" s="23">
        <v>0.41966995447651217</v>
      </c>
      <c r="S101" s="34">
        <v>2</v>
      </c>
      <c r="T101" s="34">
        <v>10.87</v>
      </c>
      <c r="U101" s="29">
        <v>44184</v>
      </c>
      <c r="V101" s="30">
        <v>0.3666666666666667</v>
      </c>
      <c r="W101" s="14">
        <f t="shared" si="9"/>
        <v>3</v>
      </c>
    </row>
    <row r="102" spans="1:23" x14ac:dyDescent="0.35">
      <c r="A102" t="str">
        <f t="shared" si="5"/>
        <v>ESTUDIO SEGUIMIENTO DESEMPEÑO AMBIENTAL ACUICULTURA EN CHILE Y SU EFECTO EN LOS ECOSISTEMAS DE EMPLAZAMIENTO 2020-2021</v>
      </c>
      <c r="B102" t="str">
        <f t="shared" si="6"/>
        <v>Objetivo 1. Actividad 2. Muestreos y Analisis sedimentos</v>
      </c>
      <c r="C102" t="str">
        <f t="shared" si="7"/>
        <v>Gastón Vidal</v>
      </c>
      <c r="D102" t="str">
        <f t="shared" si="8"/>
        <v>INSTITUTO DE FOMENTO PESQUERO</v>
      </c>
      <c r="E102" s="15" t="s">
        <v>40</v>
      </c>
      <c r="F102" s="16" t="s">
        <v>220</v>
      </c>
      <c r="G102" s="17">
        <v>4</v>
      </c>
      <c r="H102" s="19" t="s">
        <v>223</v>
      </c>
      <c r="I102" s="19" t="s">
        <v>224</v>
      </c>
      <c r="J102" s="23">
        <v>7.2899999999999991</v>
      </c>
      <c r="K102" s="38">
        <v>4.3588989435406823E-2</v>
      </c>
      <c r="L102" s="23">
        <v>11.699999999999998</v>
      </c>
      <c r="M102" s="38">
        <v>0.10000000000000053</v>
      </c>
      <c r="N102" s="23">
        <v>348.43333333333334</v>
      </c>
      <c r="O102" s="38">
        <v>11.638871652068914</v>
      </c>
      <c r="P102" s="23">
        <v>119.25241684848322</v>
      </c>
      <c r="Q102" s="38">
        <v>43.370488646777844</v>
      </c>
      <c r="R102" s="23">
        <v>2.3315065859051765</v>
      </c>
      <c r="S102" s="34">
        <v>3.5</v>
      </c>
      <c r="T102" s="34">
        <v>12.84</v>
      </c>
      <c r="U102" s="29">
        <v>44183</v>
      </c>
      <c r="V102" s="30">
        <v>0.74722222222222223</v>
      </c>
      <c r="W102" s="14">
        <f t="shared" si="9"/>
        <v>4</v>
      </c>
    </row>
    <row r="103" spans="1:23" x14ac:dyDescent="0.35">
      <c r="A103" t="str">
        <f t="shared" si="5"/>
        <v>ESTUDIO SEGUIMIENTO DESEMPEÑO AMBIENTAL ACUICULTURA EN CHILE Y SU EFECTO EN LOS ECOSISTEMAS DE EMPLAZAMIENTO 2020-2021</v>
      </c>
      <c r="B103" t="str">
        <f t="shared" si="6"/>
        <v>Objetivo 1. Actividad 2. Muestreos y Analisis sedimentos</v>
      </c>
      <c r="C103" t="str">
        <f t="shared" si="7"/>
        <v>Gastón Vidal</v>
      </c>
      <c r="D103" t="str">
        <f t="shared" si="8"/>
        <v>INSTITUTO DE FOMENTO PESQUERO</v>
      </c>
      <c r="E103" s="15" t="s">
        <v>40</v>
      </c>
      <c r="F103" s="16" t="s">
        <v>220</v>
      </c>
      <c r="G103" s="17">
        <v>12</v>
      </c>
      <c r="H103" s="19" t="s">
        <v>225</v>
      </c>
      <c r="I103" s="19" t="s">
        <v>226</v>
      </c>
      <c r="J103" s="23">
        <v>7.873333333333334</v>
      </c>
      <c r="K103" s="38">
        <v>9.073771725877508E-2</v>
      </c>
      <c r="L103" s="23">
        <v>13</v>
      </c>
      <c r="M103" s="38">
        <v>0.17320508075688709</v>
      </c>
      <c r="N103" s="23">
        <v>476.4666666666667</v>
      </c>
      <c r="O103" s="38">
        <v>31.301331175100749</v>
      </c>
      <c r="P103" s="23">
        <v>0.05</v>
      </c>
      <c r="Q103" s="38"/>
      <c r="R103" s="23">
        <v>0.44327029326966294</v>
      </c>
      <c r="S103" s="34">
        <v>4.5</v>
      </c>
      <c r="T103" s="34">
        <v>12.08</v>
      </c>
      <c r="U103" s="29">
        <v>44229</v>
      </c>
      <c r="V103" s="30">
        <v>0.6430555555555556</v>
      </c>
      <c r="W103" s="14">
        <f t="shared" si="9"/>
        <v>12</v>
      </c>
    </row>
    <row r="104" spans="1:23" x14ac:dyDescent="0.35">
      <c r="A104" t="str">
        <f t="shared" si="5"/>
        <v>ESTUDIO SEGUIMIENTO DESEMPEÑO AMBIENTAL ACUICULTURA EN CHILE Y SU EFECTO EN LOS ECOSISTEMAS DE EMPLAZAMIENTO 2020-2021</v>
      </c>
      <c r="B104" t="str">
        <f t="shared" si="6"/>
        <v>Objetivo 1. Actividad 2. Muestreos y Analisis sedimentos</v>
      </c>
      <c r="C104" t="str">
        <f t="shared" si="7"/>
        <v>Gastón Vidal</v>
      </c>
      <c r="D104" t="str">
        <f t="shared" si="8"/>
        <v>INSTITUTO DE FOMENTO PESQUERO</v>
      </c>
      <c r="E104" s="15" t="s">
        <v>40</v>
      </c>
      <c r="F104" s="16" t="s">
        <v>220</v>
      </c>
      <c r="G104" s="17">
        <v>14</v>
      </c>
      <c r="H104" s="19" t="s">
        <v>227</v>
      </c>
      <c r="I104" s="19" t="s">
        <v>228</v>
      </c>
      <c r="J104" s="23">
        <v>7.1533333333333333</v>
      </c>
      <c r="K104" s="38">
        <v>8.5049005481153864E-2</v>
      </c>
      <c r="L104" s="23">
        <v>12.4</v>
      </c>
      <c r="M104" s="38">
        <v>0.17320508075688712</v>
      </c>
      <c r="N104" s="23">
        <v>271.16666666666669</v>
      </c>
      <c r="O104" s="38">
        <v>42.203119947858504</v>
      </c>
      <c r="P104" s="23">
        <v>0.05</v>
      </c>
      <c r="Q104" s="38"/>
      <c r="R104" s="23">
        <v>1.387521001100704</v>
      </c>
      <c r="S104" s="34">
        <v>6.5</v>
      </c>
      <c r="T104" s="34">
        <v>12.18</v>
      </c>
      <c r="U104" s="29">
        <v>44229</v>
      </c>
      <c r="V104" s="30">
        <v>0.61111111111111105</v>
      </c>
      <c r="W104" s="14">
        <f t="shared" si="9"/>
        <v>14</v>
      </c>
    </row>
    <row r="105" spans="1:23" x14ac:dyDescent="0.35">
      <c r="A105" t="str">
        <f t="shared" si="5"/>
        <v>ESTUDIO SEGUIMIENTO DESEMPEÑO AMBIENTAL ACUICULTURA EN CHILE Y SU EFECTO EN LOS ECOSISTEMAS DE EMPLAZAMIENTO 2020-2021</v>
      </c>
      <c r="B105" t="str">
        <f t="shared" si="6"/>
        <v>Objetivo 1. Actividad 2. Muestreos y Analisis sedimentos</v>
      </c>
      <c r="C105" t="str">
        <f t="shared" si="7"/>
        <v>Gastón Vidal</v>
      </c>
      <c r="D105" t="str">
        <f t="shared" si="8"/>
        <v>INSTITUTO DE FOMENTO PESQUERO</v>
      </c>
      <c r="E105" s="15" t="s">
        <v>40</v>
      </c>
      <c r="F105" s="16" t="s">
        <v>220</v>
      </c>
      <c r="G105" s="17">
        <v>18</v>
      </c>
      <c r="H105" s="19" t="s">
        <v>229</v>
      </c>
      <c r="I105" s="19" t="s">
        <v>230</v>
      </c>
      <c r="J105" s="23">
        <v>7.4733333333333336</v>
      </c>
      <c r="K105" s="38">
        <v>9.0737717258774955E-2</v>
      </c>
      <c r="L105" s="23">
        <v>13.466666666666667</v>
      </c>
      <c r="M105" s="38">
        <v>0.35118845842842517</v>
      </c>
      <c r="N105" s="23">
        <v>374.56666666666666</v>
      </c>
      <c r="O105" s="38">
        <v>25.848468684495277</v>
      </c>
      <c r="P105" s="23">
        <v>0.05</v>
      </c>
      <c r="Q105" s="38"/>
      <c r="R105" s="23">
        <v>0.79642528584567407</v>
      </c>
      <c r="S105" s="34">
        <v>7.5</v>
      </c>
      <c r="T105" s="34">
        <v>12.95</v>
      </c>
      <c r="U105" s="29">
        <v>44229</v>
      </c>
      <c r="V105" s="30">
        <v>0.43055555555555558</v>
      </c>
      <c r="W105" s="14">
        <f t="shared" si="9"/>
        <v>18</v>
      </c>
    </row>
    <row r="106" spans="1:23" x14ac:dyDescent="0.35">
      <c r="A106" t="str">
        <f t="shared" si="5"/>
        <v>ESTUDIO SEGUIMIENTO DESEMPEÑO AMBIENTAL ACUICULTURA EN CHILE Y SU EFECTO EN LOS ECOSISTEMAS DE EMPLAZAMIENTO 2020-2021</v>
      </c>
      <c r="B106" t="str">
        <f t="shared" si="6"/>
        <v>Objetivo 1. Actividad 2. Muestreos y Analisis sedimentos</v>
      </c>
      <c r="C106" t="str">
        <f t="shared" si="7"/>
        <v>Gastón Vidal</v>
      </c>
      <c r="D106" t="str">
        <f t="shared" si="8"/>
        <v>INSTITUTO DE FOMENTO PESQUERO</v>
      </c>
      <c r="E106" s="15" t="s">
        <v>40</v>
      </c>
      <c r="F106" s="16" t="s">
        <v>220</v>
      </c>
      <c r="G106" s="17">
        <v>19</v>
      </c>
      <c r="H106" s="19" t="s">
        <v>231</v>
      </c>
      <c r="I106" s="19" t="s">
        <v>232</v>
      </c>
      <c r="J106" s="23">
        <v>7.4366666666666674</v>
      </c>
      <c r="K106" s="38">
        <v>4.725815626252608E-2</v>
      </c>
      <c r="L106" s="23">
        <v>13.5</v>
      </c>
      <c r="M106" s="38">
        <v>0.26457513110645914</v>
      </c>
      <c r="N106" s="23">
        <v>322.3</v>
      </c>
      <c r="O106" s="38">
        <v>22.055158126841896</v>
      </c>
      <c r="P106" s="23">
        <v>0.05</v>
      </c>
      <c r="Q106" s="38"/>
      <c r="R106" s="23">
        <v>0.90775100899485073</v>
      </c>
      <c r="S106" s="34">
        <v>4.5</v>
      </c>
      <c r="T106" s="34">
        <v>14.87</v>
      </c>
      <c r="U106" s="29">
        <v>44229</v>
      </c>
      <c r="V106" s="30">
        <v>0.40625</v>
      </c>
      <c r="W106" s="14">
        <f t="shared" si="9"/>
        <v>19</v>
      </c>
    </row>
    <row r="107" spans="1:23" x14ac:dyDescent="0.35">
      <c r="A107" t="str">
        <f t="shared" si="5"/>
        <v>ESTUDIO SEGUIMIENTO DESEMPEÑO AMBIENTAL ACUICULTURA EN CHILE Y SU EFECTO EN LOS ECOSISTEMAS DE EMPLAZAMIENTO 2020-2021</v>
      </c>
      <c r="B107" t="str">
        <f t="shared" si="6"/>
        <v>Objetivo 1. Actividad 2. Muestreos y Analisis sedimentos</v>
      </c>
      <c r="C107" t="str">
        <f t="shared" si="7"/>
        <v>Gastón Vidal</v>
      </c>
      <c r="D107" t="str">
        <f t="shared" si="8"/>
        <v>INSTITUTO DE FOMENTO PESQUERO</v>
      </c>
      <c r="E107" s="15" t="s">
        <v>40</v>
      </c>
      <c r="F107" s="16" t="s">
        <v>220</v>
      </c>
      <c r="G107" s="21">
        <v>20</v>
      </c>
      <c r="H107" s="22" t="s">
        <v>233</v>
      </c>
      <c r="I107" s="22" t="s">
        <v>234</v>
      </c>
      <c r="J107" s="24">
        <v>8.0566666666666666</v>
      </c>
      <c r="K107" s="39">
        <v>0.69139954681308091</v>
      </c>
      <c r="L107" s="24">
        <v>14.366666666666665</v>
      </c>
      <c r="M107" s="39">
        <v>0.20816659994661324</v>
      </c>
      <c r="N107" s="24">
        <v>440.3</v>
      </c>
      <c r="O107" s="39">
        <v>31.030791159749711</v>
      </c>
      <c r="P107" s="24" t="s">
        <v>402</v>
      </c>
      <c r="Q107" s="39" t="s">
        <v>402</v>
      </c>
      <c r="R107" s="24">
        <v>0.47368421052632653</v>
      </c>
      <c r="S107" s="35">
        <v>4</v>
      </c>
      <c r="T107" s="35">
        <v>13.8</v>
      </c>
      <c r="U107" s="31">
        <v>44229</v>
      </c>
      <c r="V107" s="32">
        <v>0.36458333333333331</v>
      </c>
      <c r="W107" s="14">
        <f t="shared" si="9"/>
        <v>20</v>
      </c>
    </row>
    <row r="108" spans="1:23" x14ac:dyDescent="0.35">
      <c r="A108" t="str">
        <f t="shared" si="5"/>
        <v>ESTUDIO SEGUIMIENTO DESEMPEÑO AMBIENTAL ACUICULTURA EN CHILE Y SU EFECTO EN LOS ECOSISTEMAS DE EMPLAZAMIENTO 2020-2021</v>
      </c>
      <c r="B108" t="str">
        <f t="shared" si="6"/>
        <v>Objetivo 1. Actividad 2. Muestreos y Analisis sedimentos</v>
      </c>
      <c r="C108" t="str">
        <f t="shared" si="7"/>
        <v>Gastón Vidal</v>
      </c>
      <c r="D108" t="str">
        <f t="shared" si="8"/>
        <v>INSTITUTO DE FOMENTO PESQUERO</v>
      </c>
      <c r="E108" s="15" t="s">
        <v>40</v>
      </c>
      <c r="F108" s="16" t="s">
        <v>235</v>
      </c>
      <c r="G108" s="17">
        <v>1</v>
      </c>
      <c r="H108" s="19" t="s">
        <v>236</v>
      </c>
      <c r="I108" s="19" t="s">
        <v>237</v>
      </c>
      <c r="J108" s="23">
        <v>7.7133333333333338</v>
      </c>
      <c r="K108" s="38">
        <v>0.11015141094572203</v>
      </c>
      <c r="L108" s="23">
        <v>15.066666666666668</v>
      </c>
      <c r="M108" s="38">
        <v>0.30550504633038922</v>
      </c>
      <c r="N108" s="23">
        <v>229.63333333333335</v>
      </c>
      <c r="O108" s="38">
        <v>3.9803684921541178</v>
      </c>
      <c r="P108" s="23">
        <v>38.08821271594713</v>
      </c>
      <c r="Q108" s="38">
        <v>12.304445019532947</v>
      </c>
      <c r="R108" s="23">
        <v>0.97042275331650185</v>
      </c>
      <c r="S108" s="34">
        <v>5</v>
      </c>
      <c r="T108" s="34">
        <v>13.43</v>
      </c>
      <c r="U108" s="29">
        <v>44217</v>
      </c>
      <c r="V108" s="30">
        <v>0.35416666666666669</v>
      </c>
      <c r="W108" s="14">
        <f t="shared" si="9"/>
        <v>1</v>
      </c>
    </row>
    <row r="109" spans="1:23" x14ac:dyDescent="0.35">
      <c r="A109" t="str">
        <f t="shared" si="5"/>
        <v>ESTUDIO SEGUIMIENTO DESEMPEÑO AMBIENTAL ACUICULTURA EN CHILE Y SU EFECTO EN LOS ECOSISTEMAS DE EMPLAZAMIENTO 2020-2021</v>
      </c>
      <c r="B109" t="str">
        <f t="shared" si="6"/>
        <v>Objetivo 1. Actividad 2. Muestreos y Analisis sedimentos</v>
      </c>
      <c r="C109" t="str">
        <f t="shared" si="7"/>
        <v>Gastón Vidal</v>
      </c>
      <c r="D109" t="str">
        <f t="shared" si="8"/>
        <v>INSTITUTO DE FOMENTO PESQUERO</v>
      </c>
      <c r="E109" s="15" t="s">
        <v>40</v>
      </c>
      <c r="F109" s="16" t="s">
        <v>235</v>
      </c>
      <c r="G109" s="17">
        <v>2</v>
      </c>
      <c r="H109" s="19" t="s">
        <v>238</v>
      </c>
      <c r="I109" s="19" t="s">
        <v>239</v>
      </c>
      <c r="J109" s="23">
        <v>7.5733333333333333</v>
      </c>
      <c r="K109" s="38">
        <v>9.2915732431775547E-2</v>
      </c>
      <c r="L109" s="23">
        <v>14.6</v>
      </c>
      <c r="M109" s="38">
        <v>0.17320508075688709</v>
      </c>
      <c r="N109" s="23">
        <v>182.26666666666665</v>
      </c>
      <c r="O109" s="38">
        <v>20.987218332435898</v>
      </c>
      <c r="P109" s="23">
        <v>23.322462721295096</v>
      </c>
      <c r="Q109" s="38">
        <v>20.587977687720098</v>
      </c>
      <c r="R109" s="23">
        <v>0.94428944743917986</v>
      </c>
      <c r="S109" s="34">
        <v>1.8</v>
      </c>
      <c r="T109" s="34">
        <v>14.1</v>
      </c>
      <c r="U109" s="29">
        <v>44216</v>
      </c>
      <c r="V109" s="30">
        <v>0.66041666666666665</v>
      </c>
      <c r="W109" s="14">
        <f t="shared" si="9"/>
        <v>2</v>
      </c>
    </row>
    <row r="110" spans="1:23" x14ac:dyDescent="0.35">
      <c r="A110" t="str">
        <f t="shared" si="5"/>
        <v>ESTUDIO SEGUIMIENTO DESEMPEÑO AMBIENTAL ACUICULTURA EN CHILE Y SU EFECTO EN LOS ECOSISTEMAS DE EMPLAZAMIENTO 2020-2021</v>
      </c>
      <c r="B110" t="str">
        <f t="shared" si="6"/>
        <v>Objetivo 1. Actividad 2. Muestreos y Analisis sedimentos</v>
      </c>
      <c r="C110" t="str">
        <f t="shared" si="7"/>
        <v>Gastón Vidal</v>
      </c>
      <c r="D110" t="str">
        <f t="shared" si="8"/>
        <v>INSTITUTO DE FOMENTO PESQUERO</v>
      </c>
      <c r="E110" s="15" t="s">
        <v>40</v>
      </c>
      <c r="F110" s="16" t="s">
        <v>235</v>
      </c>
      <c r="G110" s="17">
        <v>4</v>
      </c>
      <c r="H110" s="19" t="s">
        <v>240</v>
      </c>
      <c r="I110" s="19" t="s">
        <v>241</v>
      </c>
      <c r="J110" s="23">
        <v>7.626666666666666</v>
      </c>
      <c r="K110" s="38">
        <v>0.13576941236277554</v>
      </c>
      <c r="L110" s="23">
        <v>13.766666666666666</v>
      </c>
      <c r="M110" s="38">
        <v>5.77350269189634E-2</v>
      </c>
      <c r="N110" s="23">
        <v>312.16666666666669</v>
      </c>
      <c r="O110" s="38">
        <v>12.22551975718552</v>
      </c>
      <c r="P110" s="23">
        <v>13.317897739523202</v>
      </c>
      <c r="Q110" s="38">
        <v>16.422318537247005</v>
      </c>
      <c r="R110" s="23">
        <v>1.4923728606057656</v>
      </c>
      <c r="S110" s="34">
        <v>2</v>
      </c>
      <c r="T110" s="34">
        <v>12.25</v>
      </c>
      <c r="U110" s="29">
        <v>44216</v>
      </c>
      <c r="V110" s="30">
        <v>0.56944444444444442</v>
      </c>
      <c r="W110" s="14">
        <f t="shared" si="9"/>
        <v>4</v>
      </c>
    </row>
    <row r="111" spans="1:23" x14ac:dyDescent="0.35">
      <c r="A111" t="str">
        <f t="shared" si="5"/>
        <v>ESTUDIO SEGUIMIENTO DESEMPEÑO AMBIENTAL ACUICULTURA EN CHILE Y SU EFECTO EN LOS ECOSISTEMAS DE EMPLAZAMIENTO 2020-2021</v>
      </c>
      <c r="B111" t="str">
        <f t="shared" si="6"/>
        <v>Objetivo 1. Actividad 2. Muestreos y Analisis sedimentos</v>
      </c>
      <c r="C111" t="str">
        <f t="shared" si="7"/>
        <v>Gastón Vidal</v>
      </c>
      <c r="D111" t="str">
        <f t="shared" si="8"/>
        <v>INSTITUTO DE FOMENTO PESQUERO</v>
      </c>
      <c r="E111" s="15" t="s">
        <v>40</v>
      </c>
      <c r="F111" s="16" t="s">
        <v>235</v>
      </c>
      <c r="G111" s="17">
        <v>6</v>
      </c>
      <c r="H111" s="15" t="s">
        <v>242</v>
      </c>
      <c r="I111" s="15" t="s">
        <v>243</v>
      </c>
      <c r="J111" s="23">
        <v>7.54</v>
      </c>
      <c r="K111" s="38">
        <v>0.17521415467935214</v>
      </c>
      <c r="L111" s="23">
        <v>12.533333333333333</v>
      </c>
      <c r="M111" s="38">
        <v>0.25166114784235838</v>
      </c>
      <c r="N111" s="23">
        <v>296.96666666666664</v>
      </c>
      <c r="O111" s="38">
        <v>11.033736145718418</v>
      </c>
      <c r="P111" s="23">
        <v>0.05</v>
      </c>
      <c r="Q111" s="38"/>
      <c r="R111" s="23">
        <v>0.84094123698084544</v>
      </c>
      <c r="S111" s="34">
        <v>9.5</v>
      </c>
      <c r="T111" s="34">
        <v>12.02</v>
      </c>
      <c r="U111" s="29">
        <v>44216</v>
      </c>
      <c r="V111" s="30">
        <v>0.47569444444444442</v>
      </c>
      <c r="W111" s="14">
        <f t="shared" si="9"/>
        <v>6</v>
      </c>
    </row>
    <row r="112" spans="1:23" x14ac:dyDescent="0.35">
      <c r="A112" t="str">
        <f t="shared" si="5"/>
        <v>ESTUDIO SEGUIMIENTO DESEMPEÑO AMBIENTAL ACUICULTURA EN CHILE Y SU EFECTO EN LOS ECOSISTEMAS DE EMPLAZAMIENTO 2020-2021</v>
      </c>
      <c r="B112" t="str">
        <f t="shared" si="6"/>
        <v>Objetivo 1. Actividad 2. Muestreos y Analisis sedimentos</v>
      </c>
      <c r="C112" t="str">
        <f t="shared" si="7"/>
        <v>Gastón Vidal</v>
      </c>
      <c r="D112" t="str">
        <f t="shared" si="8"/>
        <v>INSTITUTO DE FOMENTO PESQUERO</v>
      </c>
      <c r="E112" s="15" t="s">
        <v>40</v>
      </c>
      <c r="F112" s="16" t="s">
        <v>235</v>
      </c>
      <c r="G112" s="17">
        <v>7</v>
      </c>
      <c r="H112" s="19" t="s">
        <v>244</v>
      </c>
      <c r="I112" s="19" t="s">
        <v>245</v>
      </c>
      <c r="J112" s="23">
        <v>7.38</v>
      </c>
      <c r="K112" s="38">
        <v>0.10583005244258373</v>
      </c>
      <c r="L112" s="23">
        <v>11.866666666666667</v>
      </c>
      <c r="M112" s="38">
        <v>5.7735026918962373E-2</v>
      </c>
      <c r="N112" s="23">
        <v>177.93333333333331</v>
      </c>
      <c r="O112" s="38">
        <v>112.01260345752767</v>
      </c>
      <c r="P112" s="23">
        <v>0.05</v>
      </c>
      <c r="Q112" s="38"/>
      <c r="R112" s="23">
        <v>1.3496731580168462</v>
      </c>
      <c r="S112" s="34">
        <v>6</v>
      </c>
      <c r="T112" s="34">
        <v>12.66</v>
      </c>
      <c r="U112" s="29">
        <v>44216</v>
      </c>
      <c r="V112" s="30">
        <v>0.4236111111111111</v>
      </c>
      <c r="W112" s="14">
        <f t="shared" si="9"/>
        <v>7</v>
      </c>
    </row>
    <row r="113" spans="1:23" x14ac:dyDescent="0.35">
      <c r="A113" t="str">
        <f t="shared" si="5"/>
        <v>ESTUDIO SEGUIMIENTO DESEMPEÑO AMBIENTAL ACUICULTURA EN CHILE Y SU EFECTO EN LOS ECOSISTEMAS DE EMPLAZAMIENTO 2020-2021</v>
      </c>
      <c r="B113" t="str">
        <f t="shared" si="6"/>
        <v>Objetivo 1. Actividad 2. Muestreos y Analisis sedimentos</v>
      </c>
      <c r="C113" t="str">
        <f t="shared" si="7"/>
        <v>Gastón Vidal</v>
      </c>
      <c r="D113" t="str">
        <f t="shared" si="8"/>
        <v>INSTITUTO DE FOMENTO PESQUERO</v>
      </c>
      <c r="E113" s="15" t="s">
        <v>40</v>
      </c>
      <c r="F113" s="16" t="s">
        <v>235</v>
      </c>
      <c r="G113" s="17">
        <v>8</v>
      </c>
      <c r="H113" s="19" t="s">
        <v>246</v>
      </c>
      <c r="I113" s="19" t="s">
        <v>247</v>
      </c>
      <c r="J113" s="23">
        <v>7.5266666666666664</v>
      </c>
      <c r="K113" s="38">
        <v>5.1316014394469103E-2</v>
      </c>
      <c r="L113" s="23">
        <v>12.200000000000001</v>
      </c>
      <c r="M113" s="38">
        <v>0.17320508075688815</v>
      </c>
      <c r="N113" s="23">
        <v>286.83333333333331</v>
      </c>
      <c r="O113" s="38">
        <v>76.546216975976805</v>
      </c>
      <c r="P113" s="23">
        <v>0.05</v>
      </c>
      <c r="Q113" s="38"/>
      <c r="R113" s="23">
        <v>1.2727324150804629</v>
      </c>
      <c r="S113" s="34">
        <v>4</v>
      </c>
      <c r="T113" s="34">
        <v>12.34</v>
      </c>
      <c r="U113" s="29">
        <v>44215</v>
      </c>
      <c r="V113" s="30">
        <v>0.38541666666666669</v>
      </c>
      <c r="W113" s="14">
        <f t="shared" si="9"/>
        <v>8</v>
      </c>
    </row>
    <row r="114" spans="1:23" x14ac:dyDescent="0.35">
      <c r="A114" t="str">
        <f t="shared" si="5"/>
        <v>ESTUDIO SEGUIMIENTO DESEMPEÑO AMBIENTAL ACUICULTURA EN CHILE Y SU EFECTO EN LOS ECOSISTEMAS DE EMPLAZAMIENTO 2020-2021</v>
      </c>
      <c r="B114" t="str">
        <f t="shared" si="6"/>
        <v>Objetivo 1. Actividad 2. Muestreos y Analisis sedimentos</v>
      </c>
      <c r="C114" t="str">
        <f t="shared" si="7"/>
        <v>Gastón Vidal</v>
      </c>
      <c r="D114" t="str">
        <f t="shared" si="8"/>
        <v>INSTITUTO DE FOMENTO PESQUERO</v>
      </c>
      <c r="E114" s="15" t="s">
        <v>40</v>
      </c>
      <c r="F114" s="16" t="s">
        <v>235</v>
      </c>
      <c r="G114" s="17">
        <v>9</v>
      </c>
      <c r="H114" s="19" t="s">
        <v>248</v>
      </c>
      <c r="I114" s="19" t="s">
        <v>249</v>
      </c>
      <c r="J114" s="23">
        <v>7.293333333333333</v>
      </c>
      <c r="K114" s="38">
        <v>0.16862186493255679</v>
      </c>
      <c r="L114" s="23">
        <v>13.433333333333332</v>
      </c>
      <c r="M114" s="38">
        <v>5.7735026918962373E-2</v>
      </c>
      <c r="N114" s="23">
        <v>302.4666666666667</v>
      </c>
      <c r="O114" s="38">
        <v>31.413585171599461</v>
      </c>
      <c r="P114" s="23">
        <v>12.971818522093521</v>
      </c>
      <c r="Q114" s="38">
        <v>20.383361293572804</v>
      </c>
      <c r="R114" s="23">
        <v>1.1476503434303094</v>
      </c>
      <c r="S114" s="34">
        <v>3.5</v>
      </c>
      <c r="T114" s="34">
        <v>12.82</v>
      </c>
      <c r="U114" s="29">
        <v>44215</v>
      </c>
      <c r="V114" s="30">
        <v>0.34722222222222227</v>
      </c>
      <c r="W114" s="14">
        <f t="shared" si="9"/>
        <v>9</v>
      </c>
    </row>
    <row r="115" spans="1:23" x14ac:dyDescent="0.35">
      <c r="A115" t="str">
        <f t="shared" si="5"/>
        <v>ESTUDIO SEGUIMIENTO DESEMPEÑO AMBIENTAL ACUICULTURA EN CHILE Y SU EFECTO EN LOS ECOSISTEMAS DE EMPLAZAMIENTO 2020-2021</v>
      </c>
      <c r="B115" t="str">
        <f t="shared" si="6"/>
        <v>Objetivo 1. Actividad 2. Muestreos y Analisis sedimentos</v>
      </c>
      <c r="C115" t="str">
        <f t="shared" si="7"/>
        <v>Gastón Vidal</v>
      </c>
      <c r="D115" t="str">
        <f t="shared" si="8"/>
        <v>INSTITUTO DE FOMENTO PESQUERO</v>
      </c>
      <c r="E115" s="15" t="s">
        <v>40</v>
      </c>
      <c r="F115" s="16" t="s">
        <v>235</v>
      </c>
      <c r="G115" s="17">
        <v>10</v>
      </c>
      <c r="H115" s="19" t="s">
        <v>250</v>
      </c>
      <c r="I115" s="19" t="s">
        <v>251</v>
      </c>
      <c r="J115" s="23">
        <v>7.5066666666666668</v>
      </c>
      <c r="K115" s="38">
        <v>3.5118845842842597E-2</v>
      </c>
      <c r="L115" s="23">
        <v>12.4</v>
      </c>
      <c r="M115" s="38">
        <v>9.9999999999999645E-2</v>
      </c>
      <c r="N115" s="23">
        <v>424.76666666666671</v>
      </c>
      <c r="O115" s="38">
        <v>30.581748369465959</v>
      </c>
      <c r="P115" s="23">
        <v>0.05</v>
      </c>
      <c r="Q115" s="38"/>
      <c r="R115" s="23">
        <v>0.71196144153841623</v>
      </c>
      <c r="S115" s="34">
        <v>7</v>
      </c>
      <c r="T115" s="34">
        <v>11.9</v>
      </c>
      <c r="U115" s="29">
        <v>44215</v>
      </c>
      <c r="V115" s="30">
        <v>0.43055555555555558</v>
      </c>
      <c r="W115" s="14">
        <f t="shared" si="9"/>
        <v>10</v>
      </c>
    </row>
    <row r="116" spans="1:23" x14ac:dyDescent="0.35">
      <c r="A116" t="str">
        <f t="shared" si="5"/>
        <v>ESTUDIO SEGUIMIENTO DESEMPEÑO AMBIENTAL ACUICULTURA EN CHILE Y SU EFECTO EN LOS ECOSISTEMAS DE EMPLAZAMIENTO 2020-2021</v>
      </c>
      <c r="B116" t="str">
        <f t="shared" si="6"/>
        <v>Objetivo 1. Actividad 2. Muestreos y Analisis sedimentos</v>
      </c>
      <c r="C116" t="str">
        <f t="shared" si="7"/>
        <v>Gastón Vidal</v>
      </c>
      <c r="D116" t="str">
        <f t="shared" si="8"/>
        <v>INSTITUTO DE FOMENTO PESQUERO</v>
      </c>
      <c r="E116" s="15" t="s">
        <v>40</v>
      </c>
      <c r="F116" s="16" t="s">
        <v>235</v>
      </c>
      <c r="G116" s="17">
        <v>12</v>
      </c>
      <c r="H116" s="19" t="s">
        <v>252</v>
      </c>
      <c r="I116" s="19" t="s">
        <v>253</v>
      </c>
      <c r="J116" s="23">
        <v>7.7166666666666659</v>
      </c>
      <c r="K116" s="38">
        <v>0.10263202878893772</v>
      </c>
      <c r="L116" s="23">
        <v>12.233333333333334</v>
      </c>
      <c r="M116" s="38">
        <v>5.77350269189634E-2</v>
      </c>
      <c r="N116" s="23">
        <v>490.26666666666665</v>
      </c>
      <c r="O116" s="38">
        <v>22.677374921567377</v>
      </c>
      <c r="P116" s="23">
        <v>0.05</v>
      </c>
      <c r="Q116" s="38"/>
      <c r="R116" s="23">
        <v>0.92387431162942402</v>
      </c>
      <c r="S116" s="34">
        <v>2.1</v>
      </c>
      <c r="T116" s="34">
        <v>11.27</v>
      </c>
      <c r="U116" s="29">
        <v>44215</v>
      </c>
      <c r="V116" s="30">
        <v>0.47916666666666669</v>
      </c>
      <c r="W116" s="14">
        <f t="shared" si="9"/>
        <v>12</v>
      </c>
    </row>
    <row r="117" spans="1:23" x14ac:dyDescent="0.35">
      <c r="A117" t="str">
        <f t="shared" si="5"/>
        <v>ESTUDIO SEGUIMIENTO DESEMPEÑO AMBIENTAL ACUICULTURA EN CHILE Y SU EFECTO EN LOS ECOSISTEMAS DE EMPLAZAMIENTO 2020-2021</v>
      </c>
      <c r="B117" t="str">
        <f t="shared" si="6"/>
        <v>Objetivo 1. Actividad 2. Muestreos y Analisis sedimentos</v>
      </c>
      <c r="C117" t="str">
        <f t="shared" si="7"/>
        <v>Gastón Vidal</v>
      </c>
      <c r="D117" t="str">
        <f t="shared" si="8"/>
        <v>INSTITUTO DE FOMENTO PESQUERO</v>
      </c>
      <c r="E117" s="15" t="s">
        <v>40</v>
      </c>
      <c r="F117" s="16" t="s">
        <v>235</v>
      </c>
      <c r="G117" s="17">
        <v>17</v>
      </c>
      <c r="H117" s="19" t="s">
        <v>254</v>
      </c>
      <c r="I117" s="19" t="s">
        <v>255</v>
      </c>
      <c r="J117" s="23">
        <v>7.71</v>
      </c>
      <c r="K117" s="38">
        <v>0.11269427669584636</v>
      </c>
      <c r="L117" s="23">
        <v>12.800000000000002</v>
      </c>
      <c r="M117" s="38">
        <v>0.10000000000000053</v>
      </c>
      <c r="N117" s="23">
        <v>380</v>
      </c>
      <c r="O117" s="38">
        <v>21.842389979120885</v>
      </c>
      <c r="P117" s="23">
        <v>61.498533117687224</v>
      </c>
      <c r="Q117" s="38">
        <v>54.237988871755086</v>
      </c>
      <c r="R117" s="23">
        <v>1.0303790730390778</v>
      </c>
      <c r="S117" s="34">
        <v>6</v>
      </c>
      <c r="T117" s="34">
        <v>12.65</v>
      </c>
      <c r="U117" s="29">
        <v>44215</v>
      </c>
      <c r="V117" s="30">
        <v>0.82291666666666663</v>
      </c>
      <c r="W117" s="14">
        <f t="shared" si="9"/>
        <v>17</v>
      </c>
    </row>
    <row r="118" spans="1:23" x14ac:dyDescent="0.35">
      <c r="A118" t="str">
        <f t="shared" si="5"/>
        <v>ESTUDIO SEGUIMIENTO DESEMPEÑO AMBIENTAL ACUICULTURA EN CHILE Y SU EFECTO EN LOS ECOSISTEMAS DE EMPLAZAMIENTO 2020-2021</v>
      </c>
      <c r="B118" t="str">
        <f t="shared" si="6"/>
        <v>Objetivo 1. Actividad 2. Muestreos y Analisis sedimentos</v>
      </c>
      <c r="C118" t="str">
        <f t="shared" si="7"/>
        <v>Gastón Vidal</v>
      </c>
      <c r="D118" t="str">
        <f t="shared" si="8"/>
        <v>INSTITUTO DE FOMENTO PESQUERO</v>
      </c>
      <c r="E118" s="15" t="s">
        <v>40</v>
      </c>
      <c r="F118" s="16" t="s">
        <v>256</v>
      </c>
      <c r="G118" s="17">
        <v>2</v>
      </c>
      <c r="H118" s="19" t="s">
        <v>257</v>
      </c>
      <c r="I118" s="19" t="s">
        <v>258</v>
      </c>
      <c r="J118" s="23">
        <v>7.45</v>
      </c>
      <c r="K118" s="38">
        <v>9.6436507609929514E-2</v>
      </c>
      <c r="L118" s="23">
        <v>13.6</v>
      </c>
      <c r="M118" s="38">
        <v>0.29999999999999982</v>
      </c>
      <c r="N118" s="23">
        <v>189.23333333333335</v>
      </c>
      <c r="O118" s="38">
        <v>14.924588213191463</v>
      </c>
      <c r="P118" s="23" t="s">
        <v>402</v>
      </c>
      <c r="Q118" s="38" t="s">
        <v>402</v>
      </c>
      <c r="R118" s="23">
        <v>0.89132749918972221</v>
      </c>
      <c r="S118" s="23">
        <v>6</v>
      </c>
      <c r="T118" s="23">
        <v>15.75</v>
      </c>
      <c r="U118" s="29">
        <v>44218</v>
      </c>
      <c r="V118" s="30">
        <v>0.52847222222222223</v>
      </c>
      <c r="W118" s="14">
        <f t="shared" si="9"/>
        <v>2</v>
      </c>
    </row>
    <row r="119" spans="1:23" x14ac:dyDescent="0.35">
      <c r="A119" t="str">
        <f t="shared" si="5"/>
        <v>ESTUDIO SEGUIMIENTO DESEMPEÑO AMBIENTAL ACUICULTURA EN CHILE Y SU EFECTO EN LOS ECOSISTEMAS DE EMPLAZAMIENTO 2020-2021</v>
      </c>
      <c r="B119" t="str">
        <f t="shared" si="6"/>
        <v>Objetivo 1. Actividad 2. Muestreos y Analisis sedimentos</v>
      </c>
      <c r="C119" t="str">
        <f t="shared" si="7"/>
        <v>Gastón Vidal</v>
      </c>
      <c r="D119" t="str">
        <f t="shared" si="8"/>
        <v>INSTITUTO DE FOMENTO PESQUERO</v>
      </c>
      <c r="E119" s="15" t="s">
        <v>40</v>
      </c>
      <c r="F119" s="16" t="s">
        <v>256</v>
      </c>
      <c r="G119" s="17">
        <v>4</v>
      </c>
      <c r="H119" s="19" t="s">
        <v>259</v>
      </c>
      <c r="I119" s="19" t="s">
        <v>260</v>
      </c>
      <c r="J119" s="23">
        <v>7.2666666666666666</v>
      </c>
      <c r="K119" s="38">
        <v>0.15044378795195668</v>
      </c>
      <c r="L119" s="23">
        <v>12.466666666666667</v>
      </c>
      <c r="M119" s="38">
        <v>0.15275252316519414</v>
      </c>
      <c r="N119" s="23">
        <v>214.26666666666665</v>
      </c>
      <c r="O119" s="38">
        <v>68.07175136084976</v>
      </c>
      <c r="P119" s="23">
        <v>0.05</v>
      </c>
      <c r="Q119" s="38"/>
      <c r="R119" s="23">
        <v>1.7663338398089665</v>
      </c>
      <c r="S119" s="23">
        <v>4</v>
      </c>
      <c r="T119" s="23">
        <v>15.16</v>
      </c>
      <c r="U119" s="29">
        <v>44218</v>
      </c>
      <c r="V119" s="30">
        <v>0.47291666666666665</v>
      </c>
      <c r="W119" s="14">
        <f t="shared" si="9"/>
        <v>4</v>
      </c>
    </row>
    <row r="120" spans="1:23" x14ac:dyDescent="0.35">
      <c r="A120" t="str">
        <f t="shared" si="5"/>
        <v>ESTUDIO SEGUIMIENTO DESEMPEÑO AMBIENTAL ACUICULTURA EN CHILE Y SU EFECTO EN LOS ECOSISTEMAS DE EMPLAZAMIENTO 2020-2021</v>
      </c>
      <c r="B120" t="str">
        <f t="shared" si="6"/>
        <v>Objetivo 1. Actividad 2. Muestreos y Analisis sedimentos</v>
      </c>
      <c r="C120" t="str">
        <f t="shared" si="7"/>
        <v>Gastón Vidal</v>
      </c>
      <c r="D120" t="str">
        <f t="shared" si="8"/>
        <v>INSTITUTO DE FOMENTO PESQUERO</v>
      </c>
      <c r="E120" s="15" t="s">
        <v>40</v>
      </c>
      <c r="F120" s="16" t="s">
        <v>256</v>
      </c>
      <c r="G120" s="17">
        <v>5</v>
      </c>
      <c r="H120" s="19" t="s">
        <v>261</v>
      </c>
      <c r="I120" s="19" t="s">
        <v>262</v>
      </c>
      <c r="J120" s="23">
        <v>7.3566666666666665</v>
      </c>
      <c r="K120" s="38">
        <v>0.17616280348965066</v>
      </c>
      <c r="L120" s="23">
        <v>13.300000000000002</v>
      </c>
      <c r="M120" s="38">
        <v>2.1755839288168292E-15</v>
      </c>
      <c r="N120" s="23">
        <v>265.2</v>
      </c>
      <c r="O120" s="38">
        <v>11.133732527773432</v>
      </c>
      <c r="P120" s="23">
        <v>0.05</v>
      </c>
      <c r="Q120" s="38"/>
      <c r="R120" s="23">
        <v>0.70409982174686814</v>
      </c>
      <c r="S120" s="23">
        <v>6</v>
      </c>
      <c r="T120" s="23">
        <v>12.72</v>
      </c>
      <c r="U120" s="29">
        <v>44218</v>
      </c>
      <c r="V120" s="30">
        <v>0.42152777777777778</v>
      </c>
      <c r="W120" s="14">
        <f t="shared" si="9"/>
        <v>5</v>
      </c>
    </row>
    <row r="121" spans="1:23" x14ac:dyDescent="0.35">
      <c r="A121" t="str">
        <f t="shared" si="5"/>
        <v>ESTUDIO SEGUIMIENTO DESEMPEÑO AMBIENTAL ACUICULTURA EN CHILE Y SU EFECTO EN LOS ECOSISTEMAS DE EMPLAZAMIENTO 2020-2021</v>
      </c>
      <c r="B121" t="str">
        <f t="shared" si="6"/>
        <v>Objetivo 1. Actividad 2. Muestreos y Analisis sedimentos</v>
      </c>
      <c r="C121" t="str">
        <f t="shared" si="7"/>
        <v>Gastón Vidal</v>
      </c>
      <c r="D121" t="str">
        <f t="shared" si="8"/>
        <v>INSTITUTO DE FOMENTO PESQUERO</v>
      </c>
      <c r="E121" s="15" t="s">
        <v>40</v>
      </c>
      <c r="F121" s="16" t="s">
        <v>256</v>
      </c>
      <c r="G121" s="17">
        <v>12</v>
      </c>
      <c r="H121" s="19" t="s">
        <v>263</v>
      </c>
      <c r="I121" s="19" t="s">
        <v>264</v>
      </c>
      <c r="J121" s="23">
        <v>7.123333333333334</v>
      </c>
      <c r="K121" s="38">
        <v>0.16623276853055582</v>
      </c>
      <c r="L121" s="23">
        <v>13.300000000000002</v>
      </c>
      <c r="M121" s="38">
        <v>0.10000000000000053</v>
      </c>
      <c r="N121" s="23">
        <v>153.43333333333334</v>
      </c>
      <c r="O121" s="38">
        <v>74.477938567963463</v>
      </c>
      <c r="P121" s="23">
        <v>37.652255575304117</v>
      </c>
      <c r="Q121" s="38">
        <v>16.496289606806634</v>
      </c>
      <c r="R121" s="23">
        <v>1.2248150892744558</v>
      </c>
      <c r="S121" s="23">
        <v>6</v>
      </c>
      <c r="T121" s="23">
        <v>13.9</v>
      </c>
      <c r="U121" s="29">
        <v>44217</v>
      </c>
      <c r="V121" s="30">
        <v>0.55625000000000002</v>
      </c>
      <c r="W121" s="14">
        <f t="shared" si="9"/>
        <v>12</v>
      </c>
    </row>
    <row r="122" spans="1:23" x14ac:dyDescent="0.35">
      <c r="A122" t="str">
        <f t="shared" si="5"/>
        <v>ESTUDIO SEGUIMIENTO DESEMPEÑO AMBIENTAL ACUICULTURA EN CHILE Y SU EFECTO EN LOS ECOSISTEMAS DE EMPLAZAMIENTO 2020-2021</v>
      </c>
      <c r="B122" t="str">
        <f t="shared" si="6"/>
        <v>Objetivo 1. Actividad 2. Muestreos y Analisis sedimentos</v>
      </c>
      <c r="C122" t="str">
        <f t="shared" si="7"/>
        <v>Gastón Vidal</v>
      </c>
      <c r="D122" t="str">
        <f t="shared" si="8"/>
        <v>INSTITUTO DE FOMENTO PESQUERO</v>
      </c>
      <c r="E122" s="15" t="s">
        <v>40</v>
      </c>
      <c r="F122" s="16" t="s">
        <v>256</v>
      </c>
      <c r="G122" s="17">
        <v>13</v>
      </c>
      <c r="H122" s="19" t="s">
        <v>265</v>
      </c>
      <c r="I122" s="19" t="s">
        <v>266</v>
      </c>
      <c r="J122" s="23">
        <v>7.1466666666666674</v>
      </c>
      <c r="K122" s="38">
        <v>0.15947831618540945</v>
      </c>
      <c r="L122" s="23">
        <v>13.1</v>
      </c>
      <c r="M122" s="38">
        <v>0.29999999999999982</v>
      </c>
      <c r="N122" s="23">
        <v>288.03333333333336</v>
      </c>
      <c r="O122" s="38">
        <v>22.298505181588599</v>
      </c>
      <c r="P122" s="23">
        <v>77.101541420694844</v>
      </c>
      <c r="Q122" s="38">
        <v>121.92263169041401</v>
      </c>
      <c r="R122" s="23">
        <v>1.1715770232731988</v>
      </c>
      <c r="S122" s="23">
        <v>9</v>
      </c>
      <c r="T122" s="23">
        <v>12.72</v>
      </c>
      <c r="U122" s="29">
        <v>44217</v>
      </c>
      <c r="V122" s="30">
        <v>0.52083333333333337</v>
      </c>
      <c r="W122" s="14">
        <f t="shared" si="9"/>
        <v>13</v>
      </c>
    </row>
    <row r="123" spans="1:23" x14ac:dyDescent="0.35">
      <c r="A123" t="str">
        <f t="shared" si="5"/>
        <v>ESTUDIO SEGUIMIENTO DESEMPEÑO AMBIENTAL ACUICULTURA EN CHILE Y SU EFECTO EN LOS ECOSISTEMAS DE EMPLAZAMIENTO 2020-2021</v>
      </c>
      <c r="B123" t="str">
        <f t="shared" si="6"/>
        <v>Objetivo 1. Actividad 2. Muestreos y Analisis sedimentos</v>
      </c>
      <c r="C123" t="str">
        <f t="shared" si="7"/>
        <v>Gastón Vidal</v>
      </c>
      <c r="D123" t="str">
        <f t="shared" si="8"/>
        <v>INSTITUTO DE FOMENTO PESQUERO</v>
      </c>
      <c r="E123" s="15" t="s">
        <v>40</v>
      </c>
      <c r="F123" s="16" t="s">
        <v>256</v>
      </c>
      <c r="G123" s="17">
        <v>14</v>
      </c>
      <c r="H123" s="19" t="s">
        <v>267</v>
      </c>
      <c r="I123" s="19" t="s">
        <v>268</v>
      </c>
      <c r="J123" s="23">
        <v>7.81</v>
      </c>
      <c r="K123" s="38">
        <v>9.6436507609929334E-2</v>
      </c>
      <c r="L123" s="23">
        <v>12.466666666666667</v>
      </c>
      <c r="M123" s="38">
        <v>5.7735026918962373E-2</v>
      </c>
      <c r="N123" s="23">
        <v>55.466666666666669</v>
      </c>
      <c r="O123" s="38">
        <v>27.050015403569251</v>
      </c>
      <c r="P123" s="23">
        <v>0.05</v>
      </c>
      <c r="Q123" s="38"/>
      <c r="R123" s="23">
        <v>1.1374980297378328</v>
      </c>
      <c r="S123" s="23">
        <v>4</v>
      </c>
      <c r="T123" s="23">
        <v>12.56</v>
      </c>
      <c r="U123" s="29">
        <v>44217</v>
      </c>
      <c r="V123" s="30">
        <v>0.46388888888888885</v>
      </c>
      <c r="W123" s="14">
        <f t="shared" si="9"/>
        <v>14</v>
      </c>
    </row>
    <row r="124" spans="1:23" x14ac:dyDescent="0.35">
      <c r="A124" t="str">
        <f t="shared" si="5"/>
        <v>ESTUDIO SEGUIMIENTO DESEMPEÑO AMBIENTAL ACUICULTURA EN CHILE Y SU EFECTO EN LOS ECOSISTEMAS DE EMPLAZAMIENTO 2020-2021</v>
      </c>
      <c r="B124" t="str">
        <f t="shared" si="6"/>
        <v>Objetivo 1. Actividad 2. Muestreos y Analisis sedimentos</v>
      </c>
      <c r="C124" t="str">
        <f t="shared" si="7"/>
        <v>Gastón Vidal</v>
      </c>
      <c r="D124" t="str">
        <f t="shared" si="8"/>
        <v>INSTITUTO DE FOMENTO PESQUERO</v>
      </c>
      <c r="E124" s="15" t="s">
        <v>40</v>
      </c>
      <c r="F124" s="16" t="s">
        <v>256</v>
      </c>
      <c r="G124" s="17">
        <v>16</v>
      </c>
      <c r="H124" s="19" t="s">
        <v>269</v>
      </c>
      <c r="I124" s="19" t="s">
        <v>270</v>
      </c>
      <c r="J124" s="23">
        <v>7.43</v>
      </c>
      <c r="K124" s="38">
        <v>8.7177978870813647E-2</v>
      </c>
      <c r="L124" s="23">
        <v>12.966666666666667</v>
      </c>
      <c r="M124" s="38">
        <v>0.11547005383792475</v>
      </c>
      <c r="N124" s="23">
        <v>83.033333333333346</v>
      </c>
      <c r="O124" s="38">
        <v>1.0263202878893776</v>
      </c>
      <c r="P124" s="23">
        <v>129.84740221565883</v>
      </c>
      <c r="Q124" s="38">
        <v>53.830987118000444</v>
      </c>
      <c r="R124" s="23">
        <v>2.5546872548096102</v>
      </c>
      <c r="S124" s="23">
        <v>7.6</v>
      </c>
      <c r="T124" s="23">
        <v>12.26</v>
      </c>
      <c r="U124" s="29">
        <v>44217</v>
      </c>
      <c r="V124" s="30">
        <v>0.4284722222222222</v>
      </c>
      <c r="W124" s="14">
        <f t="shared" si="9"/>
        <v>16</v>
      </c>
    </row>
    <row r="125" spans="1:23" x14ac:dyDescent="0.35">
      <c r="A125" t="str">
        <f t="shared" si="5"/>
        <v>ESTUDIO SEGUIMIENTO DESEMPEÑO AMBIENTAL ACUICULTURA EN CHILE Y SU EFECTO EN LOS ECOSISTEMAS DE EMPLAZAMIENTO 2020-2021</v>
      </c>
      <c r="B125" t="str">
        <f t="shared" si="6"/>
        <v>Objetivo 1. Actividad 2. Muestreos y Analisis sedimentos</v>
      </c>
      <c r="C125" t="str">
        <f t="shared" si="7"/>
        <v>Gastón Vidal</v>
      </c>
      <c r="D125" t="str">
        <f t="shared" si="8"/>
        <v>INSTITUTO DE FOMENTO PESQUERO</v>
      </c>
      <c r="E125" s="15" t="s">
        <v>40</v>
      </c>
      <c r="F125" s="16" t="s">
        <v>256</v>
      </c>
      <c r="G125" s="17">
        <v>17</v>
      </c>
      <c r="H125" s="19" t="s">
        <v>271</v>
      </c>
      <c r="I125" s="19" t="s">
        <v>272</v>
      </c>
      <c r="J125" s="23">
        <v>7.7833333333333341</v>
      </c>
      <c r="K125" s="38">
        <v>6.0277137733417148E-2</v>
      </c>
      <c r="L125" s="23">
        <v>12.533333333333333</v>
      </c>
      <c r="M125" s="38">
        <v>5.7735026918962373E-2</v>
      </c>
      <c r="N125" s="23">
        <v>565.99999999999989</v>
      </c>
      <c r="O125" s="38">
        <v>22.999347816840373</v>
      </c>
      <c r="P125" s="23">
        <v>0.05</v>
      </c>
      <c r="Q125" s="38"/>
      <c r="R125" s="23">
        <v>1.5252826723296926</v>
      </c>
      <c r="S125" s="23">
        <v>6.8</v>
      </c>
      <c r="T125" s="23">
        <v>11.17</v>
      </c>
      <c r="U125" s="29">
        <v>44215</v>
      </c>
      <c r="V125" s="30">
        <v>0.56944444444444442</v>
      </c>
      <c r="W125" s="14">
        <f t="shared" si="9"/>
        <v>17</v>
      </c>
    </row>
    <row r="126" spans="1:23" x14ac:dyDescent="0.35">
      <c r="A126" t="str">
        <f t="shared" si="5"/>
        <v>ESTUDIO SEGUIMIENTO DESEMPEÑO AMBIENTAL ACUICULTURA EN CHILE Y SU EFECTO EN LOS ECOSISTEMAS DE EMPLAZAMIENTO 2020-2021</v>
      </c>
      <c r="B126" t="str">
        <f t="shared" si="6"/>
        <v>Objetivo 1. Actividad 2. Muestreos y Analisis sedimentos</v>
      </c>
      <c r="C126" t="str">
        <f t="shared" si="7"/>
        <v>Gastón Vidal</v>
      </c>
      <c r="D126" t="str">
        <f t="shared" si="8"/>
        <v>INSTITUTO DE FOMENTO PESQUERO</v>
      </c>
      <c r="E126" s="15" t="s">
        <v>40</v>
      </c>
      <c r="F126" s="16" t="s">
        <v>256</v>
      </c>
      <c r="G126" s="17">
        <v>19</v>
      </c>
      <c r="H126" s="19" t="s">
        <v>273</v>
      </c>
      <c r="I126" s="19" t="s">
        <v>274</v>
      </c>
      <c r="J126" s="23">
        <v>7.416666666666667</v>
      </c>
      <c r="K126" s="38">
        <v>0.15011106998930304</v>
      </c>
      <c r="L126" s="23">
        <v>14.033333333333333</v>
      </c>
      <c r="M126" s="38">
        <v>0.15275252316519414</v>
      </c>
      <c r="N126" s="23">
        <v>377</v>
      </c>
      <c r="O126" s="38">
        <v>48.623553963074315</v>
      </c>
      <c r="P126" s="23">
        <v>0.05</v>
      </c>
      <c r="Q126" s="38"/>
      <c r="R126" s="23">
        <v>0.89071509046324748</v>
      </c>
      <c r="S126" s="23">
        <v>5</v>
      </c>
      <c r="T126" s="23">
        <v>13.97</v>
      </c>
      <c r="U126" s="29">
        <v>44228</v>
      </c>
      <c r="V126" s="30">
        <v>0.71597222222222223</v>
      </c>
      <c r="W126" s="14">
        <f t="shared" si="9"/>
        <v>19</v>
      </c>
    </row>
    <row r="127" spans="1:23" x14ac:dyDescent="0.35">
      <c r="A127" t="str">
        <f t="shared" si="5"/>
        <v>ESTUDIO SEGUIMIENTO DESEMPEÑO AMBIENTAL ACUICULTURA EN CHILE Y SU EFECTO EN LOS ECOSISTEMAS DE EMPLAZAMIENTO 2020-2021</v>
      </c>
      <c r="B127" t="str">
        <f t="shared" si="6"/>
        <v>Objetivo 1. Actividad 2. Muestreos y Analisis sedimentos</v>
      </c>
      <c r="C127" t="str">
        <f t="shared" si="7"/>
        <v>Gastón Vidal</v>
      </c>
      <c r="D127" t="str">
        <f t="shared" si="8"/>
        <v>INSTITUTO DE FOMENTO PESQUERO</v>
      </c>
      <c r="E127" s="15" t="s">
        <v>40</v>
      </c>
      <c r="F127" s="16" t="s">
        <v>256</v>
      </c>
      <c r="G127" s="17">
        <v>25</v>
      </c>
      <c r="H127" s="19" t="s">
        <v>275</v>
      </c>
      <c r="I127" s="19" t="s">
        <v>276</v>
      </c>
      <c r="J127" s="23">
        <v>7.7033333333333331</v>
      </c>
      <c r="K127" s="38">
        <v>0.13012814197295414</v>
      </c>
      <c r="L127" s="23">
        <v>14.933333333333332</v>
      </c>
      <c r="M127" s="38">
        <v>0.55075705472860981</v>
      </c>
      <c r="N127" s="23">
        <v>417.73333333333335</v>
      </c>
      <c r="O127" s="38">
        <v>10.735610524480345</v>
      </c>
      <c r="P127" s="23">
        <v>0.05</v>
      </c>
      <c r="Q127" s="38"/>
      <c r="R127" s="23">
        <v>0.81435346849429302</v>
      </c>
      <c r="S127" s="23">
        <v>3</v>
      </c>
      <c r="T127" s="23">
        <v>14.3</v>
      </c>
      <c r="U127" s="29">
        <v>44228</v>
      </c>
      <c r="V127" s="30">
        <v>0.50486111111111109</v>
      </c>
      <c r="W127" s="14">
        <f t="shared" si="9"/>
        <v>25</v>
      </c>
    </row>
    <row r="128" spans="1:23" x14ac:dyDescent="0.35">
      <c r="A128" t="str">
        <f t="shared" si="5"/>
        <v>ESTUDIO SEGUIMIENTO DESEMPEÑO AMBIENTAL ACUICULTURA EN CHILE Y SU EFECTO EN LOS ECOSISTEMAS DE EMPLAZAMIENTO 2020-2021</v>
      </c>
      <c r="B128" t="str">
        <f t="shared" si="6"/>
        <v>Objetivo 1. Actividad 2. Muestreos y Analisis sedimentos</v>
      </c>
      <c r="C128" t="str">
        <f t="shared" si="7"/>
        <v>Gastón Vidal</v>
      </c>
      <c r="D128" t="str">
        <f t="shared" si="8"/>
        <v>INSTITUTO DE FOMENTO PESQUERO</v>
      </c>
      <c r="E128" s="15" t="s">
        <v>40</v>
      </c>
      <c r="F128" s="16" t="s">
        <v>256</v>
      </c>
      <c r="G128" s="17">
        <v>31</v>
      </c>
      <c r="H128" s="19" t="s">
        <v>277</v>
      </c>
      <c r="I128" s="19" t="s">
        <v>278</v>
      </c>
      <c r="J128" s="23">
        <v>7.336666666666666</v>
      </c>
      <c r="K128" s="38">
        <v>7.3711147958319873E-2</v>
      </c>
      <c r="L128" s="23">
        <v>13.266666666666666</v>
      </c>
      <c r="M128" s="38">
        <v>0.55075705472861092</v>
      </c>
      <c r="N128" s="23">
        <v>365.5333333333333</v>
      </c>
      <c r="O128" s="38">
        <v>54.743888547794718</v>
      </c>
      <c r="P128" s="23">
        <v>0.05</v>
      </c>
      <c r="Q128" s="38"/>
      <c r="R128" s="23">
        <v>1.3723175220501516</v>
      </c>
      <c r="S128" s="23">
        <v>3</v>
      </c>
      <c r="T128" s="23">
        <v>16.2</v>
      </c>
      <c r="U128" s="29">
        <v>44227</v>
      </c>
      <c r="V128" s="30">
        <v>0.58124999999999993</v>
      </c>
      <c r="W128" s="14">
        <f t="shared" si="9"/>
        <v>31</v>
      </c>
    </row>
    <row r="129" spans="1:23" x14ac:dyDescent="0.35">
      <c r="A129" t="str">
        <f t="shared" si="5"/>
        <v>ESTUDIO SEGUIMIENTO DESEMPEÑO AMBIENTAL ACUICULTURA EN CHILE Y SU EFECTO EN LOS ECOSISTEMAS DE EMPLAZAMIENTO 2020-2021</v>
      </c>
      <c r="B129" t="str">
        <f t="shared" si="6"/>
        <v>Objetivo 1. Actividad 2. Muestreos y Analisis sedimentos</v>
      </c>
      <c r="C129" t="str">
        <f t="shared" si="7"/>
        <v>Gastón Vidal</v>
      </c>
      <c r="D129" t="str">
        <f t="shared" si="8"/>
        <v>INSTITUTO DE FOMENTO PESQUERO</v>
      </c>
      <c r="E129" s="15" t="s">
        <v>40</v>
      </c>
      <c r="F129" s="16" t="s">
        <v>256</v>
      </c>
      <c r="G129" s="17">
        <v>32</v>
      </c>
      <c r="H129" s="19" t="s">
        <v>279</v>
      </c>
      <c r="I129" s="19" t="s">
        <v>280</v>
      </c>
      <c r="J129" s="23">
        <v>7.8066666666666658</v>
      </c>
      <c r="K129" s="38">
        <v>5.5075705472861163E-2</v>
      </c>
      <c r="L129" s="23">
        <v>14.699999999999998</v>
      </c>
      <c r="M129" s="38">
        <v>0.20000000000000021</v>
      </c>
      <c r="N129" s="23">
        <v>380.23333333333329</v>
      </c>
      <c r="O129" s="38">
        <v>29.301592675711898</v>
      </c>
      <c r="P129" s="23" t="s">
        <v>402</v>
      </c>
      <c r="Q129" s="38" t="s">
        <v>402</v>
      </c>
      <c r="R129" s="23">
        <v>2.6679942810457473</v>
      </c>
      <c r="S129" s="23">
        <v>5.5</v>
      </c>
      <c r="T129" s="23">
        <v>14.31</v>
      </c>
      <c r="U129" s="29">
        <v>44225</v>
      </c>
      <c r="V129" s="30">
        <v>0.65625</v>
      </c>
      <c r="W129" s="14">
        <f t="shared" si="9"/>
        <v>32</v>
      </c>
    </row>
    <row r="130" spans="1:23" x14ac:dyDescent="0.35">
      <c r="A130" t="str">
        <f t="shared" si="5"/>
        <v>ESTUDIO SEGUIMIENTO DESEMPEÑO AMBIENTAL ACUICULTURA EN CHILE Y SU EFECTO EN LOS ECOSISTEMAS DE EMPLAZAMIENTO 2020-2021</v>
      </c>
      <c r="B130" t="str">
        <f t="shared" si="6"/>
        <v>Objetivo 1. Actividad 2. Muestreos y Analisis sedimentos</v>
      </c>
      <c r="C130" t="str">
        <f t="shared" si="7"/>
        <v>Gastón Vidal</v>
      </c>
      <c r="D130" t="str">
        <f t="shared" si="8"/>
        <v>INSTITUTO DE FOMENTO PESQUERO</v>
      </c>
      <c r="E130" s="15" t="s">
        <v>40</v>
      </c>
      <c r="F130" s="16" t="s">
        <v>281</v>
      </c>
      <c r="G130" s="17">
        <v>5</v>
      </c>
      <c r="H130" s="19" t="s">
        <v>282</v>
      </c>
      <c r="I130" s="19" t="s">
        <v>283</v>
      </c>
      <c r="J130" s="23">
        <v>7.43</v>
      </c>
      <c r="K130" s="38">
        <v>8.9999999999999858E-2</v>
      </c>
      <c r="L130" s="23">
        <v>14.766666666666666</v>
      </c>
      <c r="M130" s="38">
        <v>0.15275252316519508</v>
      </c>
      <c r="N130" s="23">
        <v>509.43333333333339</v>
      </c>
      <c r="O130" s="38">
        <v>37.169118005857143</v>
      </c>
      <c r="P130" s="23">
        <v>0.05</v>
      </c>
      <c r="Q130" s="38"/>
      <c r="R130" s="23">
        <v>1.094019551466364</v>
      </c>
      <c r="S130" s="34">
        <v>2</v>
      </c>
      <c r="T130" s="34">
        <v>16</v>
      </c>
      <c r="U130" s="29">
        <v>44227</v>
      </c>
      <c r="V130" s="30">
        <v>0.42222222222222222</v>
      </c>
      <c r="W130" s="14">
        <f t="shared" si="9"/>
        <v>5</v>
      </c>
    </row>
    <row r="131" spans="1:23" x14ac:dyDescent="0.35">
      <c r="A131" t="str">
        <f t="shared" si="5"/>
        <v>ESTUDIO SEGUIMIENTO DESEMPEÑO AMBIENTAL ACUICULTURA EN CHILE Y SU EFECTO EN LOS ECOSISTEMAS DE EMPLAZAMIENTO 2020-2021</v>
      </c>
      <c r="B131" t="str">
        <f t="shared" si="6"/>
        <v>Objetivo 1. Actividad 2. Muestreos y Analisis sedimentos</v>
      </c>
      <c r="C131" t="str">
        <f t="shared" si="7"/>
        <v>Gastón Vidal</v>
      </c>
      <c r="D131" t="str">
        <f t="shared" si="8"/>
        <v>INSTITUTO DE FOMENTO PESQUERO</v>
      </c>
      <c r="E131" s="15" t="s">
        <v>40</v>
      </c>
      <c r="F131" s="16" t="s">
        <v>281</v>
      </c>
      <c r="G131" s="17">
        <v>7</v>
      </c>
      <c r="H131" s="19" t="s">
        <v>284</v>
      </c>
      <c r="I131" s="19" t="s">
        <v>285</v>
      </c>
      <c r="J131" s="23">
        <v>7.3166666666666664</v>
      </c>
      <c r="K131" s="38">
        <v>9.8149545762236334E-2</v>
      </c>
      <c r="L131" s="23">
        <v>12.133333333333333</v>
      </c>
      <c r="M131" s="38">
        <v>0.25166114784235838</v>
      </c>
      <c r="N131" s="23">
        <v>326.06666666666666</v>
      </c>
      <c r="O131" s="38">
        <v>9.1308999191390168</v>
      </c>
      <c r="P131" s="23">
        <v>0.05</v>
      </c>
      <c r="Q131" s="38"/>
      <c r="R131" s="23">
        <v>9.9934802451427469</v>
      </c>
      <c r="S131" s="34">
        <v>2</v>
      </c>
      <c r="T131" s="34">
        <v>15.6</v>
      </c>
      <c r="U131" s="29">
        <v>44226</v>
      </c>
      <c r="V131" s="30">
        <v>0.58680555555555558</v>
      </c>
      <c r="W131" s="14">
        <f t="shared" si="9"/>
        <v>7</v>
      </c>
    </row>
    <row r="132" spans="1:23" x14ac:dyDescent="0.35">
      <c r="A132" t="str">
        <f t="shared" si="5"/>
        <v>ESTUDIO SEGUIMIENTO DESEMPEÑO AMBIENTAL ACUICULTURA EN CHILE Y SU EFECTO EN LOS ECOSISTEMAS DE EMPLAZAMIENTO 2020-2021</v>
      </c>
      <c r="B132" t="str">
        <f t="shared" si="6"/>
        <v>Objetivo 1. Actividad 2. Muestreos y Analisis sedimentos</v>
      </c>
      <c r="C132" t="str">
        <f t="shared" si="7"/>
        <v>Gastón Vidal</v>
      </c>
      <c r="D132" t="str">
        <f t="shared" si="8"/>
        <v>INSTITUTO DE FOMENTO PESQUERO</v>
      </c>
      <c r="E132" s="15" t="s">
        <v>40</v>
      </c>
      <c r="F132" s="16" t="s">
        <v>281</v>
      </c>
      <c r="G132" s="17">
        <v>8</v>
      </c>
      <c r="H132" s="19" t="s">
        <v>286</v>
      </c>
      <c r="I132" s="19" t="s">
        <v>287</v>
      </c>
      <c r="J132" s="23">
        <v>7.580000000000001</v>
      </c>
      <c r="K132" s="38">
        <v>9.9999999999997868E-3</v>
      </c>
      <c r="L132" s="23">
        <v>14.066666666666668</v>
      </c>
      <c r="M132" s="38">
        <v>0.15275252316519414</v>
      </c>
      <c r="N132" s="23">
        <v>263.5333333333333</v>
      </c>
      <c r="O132" s="38">
        <v>46.068680612031457</v>
      </c>
      <c r="P132" s="23">
        <v>136.31641920771915</v>
      </c>
      <c r="Q132" s="38">
        <v>21.703320735194346</v>
      </c>
      <c r="R132" s="23">
        <v>33.169613621479989</v>
      </c>
      <c r="S132" s="34">
        <v>2</v>
      </c>
      <c r="T132" s="34">
        <v>16.2</v>
      </c>
      <c r="U132" s="29">
        <v>44226</v>
      </c>
      <c r="V132" s="30">
        <v>0.55555555555555558</v>
      </c>
      <c r="W132" s="14">
        <f t="shared" si="9"/>
        <v>8</v>
      </c>
    </row>
    <row r="133" spans="1:23" x14ac:dyDescent="0.35">
      <c r="A133" t="str">
        <f t="shared" si="5"/>
        <v>ESTUDIO SEGUIMIENTO DESEMPEÑO AMBIENTAL ACUICULTURA EN CHILE Y SU EFECTO EN LOS ECOSISTEMAS DE EMPLAZAMIENTO 2020-2021</v>
      </c>
      <c r="B133" t="str">
        <f t="shared" si="6"/>
        <v>Objetivo 1. Actividad 2. Muestreos y Analisis sedimentos</v>
      </c>
      <c r="C133" t="str">
        <f t="shared" si="7"/>
        <v>Gastón Vidal</v>
      </c>
      <c r="D133" t="str">
        <f t="shared" si="8"/>
        <v>INSTITUTO DE FOMENTO PESQUERO</v>
      </c>
      <c r="E133" s="15" t="s">
        <v>40</v>
      </c>
      <c r="F133" s="16" t="s">
        <v>281</v>
      </c>
      <c r="G133" s="17">
        <v>10</v>
      </c>
      <c r="H133" s="19" t="s">
        <v>288</v>
      </c>
      <c r="I133" s="19" t="s">
        <v>289</v>
      </c>
      <c r="J133" s="23">
        <v>7.71</v>
      </c>
      <c r="K133" s="38">
        <v>0.10440306508910562</v>
      </c>
      <c r="L133" s="23">
        <v>12.299999999999999</v>
      </c>
      <c r="M133" s="38">
        <v>0.60827625302982191</v>
      </c>
      <c r="N133" s="23">
        <v>535.63333333333333</v>
      </c>
      <c r="O133" s="38">
        <v>23.987983102656489</v>
      </c>
      <c r="P133" s="23">
        <v>0.05</v>
      </c>
      <c r="Q133" s="38"/>
      <c r="R133" s="23">
        <v>2.5413777678371599</v>
      </c>
      <c r="S133" s="34">
        <v>2.5</v>
      </c>
      <c r="T133" s="34">
        <v>15.26</v>
      </c>
      <c r="U133" s="29">
        <v>44226</v>
      </c>
      <c r="V133" s="30">
        <v>0.4375</v>
      </c>
      <c r="W133" s="14">
        <f t="shared" si="9"/>
        <v>10</v>
      </c>
    </row>
    <row r="134" spans="1:23" x14ac:dyDescent="0.35">
      <c r="A134" t="str">
        <f t="shared" si="5"/>
        <v>ESTUDIO SEGUIMIENTO DESEMPEÑO AMBIENTAL ACUICULTURA EN CHILE Y SU EFECTO EN LOS ECOSISTEMAS DE EMPLAZAMIENTO 2020-2021</v>
      </c>
      <c r="B134" t="str">
        <f t="shared" si="6"/>
        <v>Objetivo 1. Actividad 2. Muestreos y Analisis sedimentos</v>
      </c>
      <c r="C134" t="str">
        <f t="shared" si="7"/>
        <v>Gastón Vidal</v>
      </c>
      <c r="D134" t="str">
        <f t="shared" si="8"/>
        <v>INSTITUTO DE FOMENTO PESQUERO</v>
      </c>
      <c r="E134" s="15" t="s">
        <v>40</v>
      </c>
      <c r="F134" s="16" t="s">
        <v>281</v>
      </c>
      <c r="G134" s="17">
        <v>12</v>
      </c>
      <c r="H134" s="19" t="s">
        <v>290</v>
      </c>
      <c r="I134" s="19" t="s">
        <v>291</v>
      </c>
      <c r="J134" s="23">
        <v>7.3900000000000006</v>
      </c>
      <c r="K134" s="38">
        <v>5.567764362830039E-2</v>
      </c>
      <c r="L134" s="23">
        <v>13</v>
      </c>
      <c r="M134" s="38">
        <v>0.30000000000000071</v>
      </c>
      <c r="N134" s="23">
        <v>315.09999999999997</v>
      </c>
      <c r="O134" s="38">
        <v>60.374083843980593</v>
      </c>
      <c r="P134" s="23">
        <v>0.05</v>
      </c>
      <c r="Q134" s="38"/>
      <c r="R134" s="23">
        <v>7.9054728527407674</v>
      </c>
      <c r="S134" s="34">
        <v>2</v>
      </c>
      <c r="T134" s="34">
        <v>15.2</v>
      </c>
      <c r="U134" s="29">
        <v>44225</v>
      </c>
      <c r="V134" s="30">
        <v>0.75416666666666676</v>
      </c>
      <c r="W134" s="14">
        <f t="shared" si="9"/>
        <v>12</v>
      </c>
    </row>
    <row r="135" spans="1:23" x14ac:dyDescent="0.35">
      <c r="A135" t="str">
        <f t="shared" si="5"/>
        <v>ESTUDIO SEGUIMIENTO DESEMPEÑO AMBIENTAL ACUICULTURA EN CHILE Y SU EFECTO EN LOS ECOSISTEMAS DE EMPLAZAMIENTO 2020-2021</v>
      </c>
      <c r="B135" t="str">
        <f t="shared" si="6"/>
        <v>Objetivo 1. Actividad 2. Muestreos y Analisis sedimentos</v>
      </c>
      <c r="C135" t="str">
        <f t="shared" si="7"/>
        <v>Gastón Vidal</v>
      </c>
      <c r="D135" t="str">
        <f t="shared" si="8"/>
        <v>INSTITUTO DE FOMENTO PESQUERO</v>
      </c>
      <c r="E135" s="15" t="s">
        <v>40</v>
      </c>
      <c r="F135" s="16" t="s">
        <v>292</v>
      </c>
      <c r="G135" s="17">
        <v>1</v>
      </c>
      <c r="H135" s="19" t="s">
        <v>293</v>
      </c>
      <c r="I135" s="19" t="s">
        <v>294</v>
      </c>
      <c r="J135" s="23">
        <v>7.496666666666667</v>
      </c>
      <c r="K135" s="38">
        <v>0.13796134724383241</v>
      </c>
      <c r="L135" s="23">
        <v>11.5</v>
      </c>
      <c r="M135" s="38">
        <v>0.26457513110645914</v>
      </c>
      <c r="N135" s="23">
        <v>157.53333333333333</v>
      </c>
      <c r="O135" s="38">
        <v>25.82369712750921</v>
      </c>
      <c r="P135" s="23">
        <v>80.213139751846697</v>
      </c>
      <c r="Q135" s="38">
        <v>15.920734245789111</v>
      </c>
      <c r="R135" s="23">
        <v>13.742002678172897</v>
      </c>
      <c r="S135" s="19">
        <v>2</v>
      </c>
      <c r="T135" s="34">
        <v>13.21</v>
      </c>
      <c r="U135" s="29">
        <v>44224</v>
      </c>
      <c r="V135" s="30">
        <v>0.62986111111111109</v>
      </c>
      <c r="W135" s="14">
        <f t="shared" si="9"/>
        <v>1</v>
      </c>
    </row>
    <row r="136" spans="1:23" x14ac:dyDescent="0.35">
      <c r="A136" t="str">
        <f t="shared" si="5"/>
        <v>ESTUDIO SEGUIMIENTO DESEMPEÑO AMBIENTAL ACUICULTURA EN CHILE Y SU EFECTO EN LOS ECOSISTEMAS DE EMPLAZAMIENTO 2020-2021</v>
      </c>
      <c r="B136" t="str">
        <f t="shared" si="6"/>
        <v>Objetivo 1. Actividad 2. Muestreos y Analisis sedimentos</v>
      </c>
      <c r="C136" t="str">
        <f t="shared" si="7"/>
        <v>Gastón Vidal</v>
      </c>
      <c r="D136" t="str">
        <f t="shared" si="8"/>
        <v>INSTITUTO DE FOMENTO PESQUERO</v>
      </c>
      <c r="E136" s="15" t="s">
        <v>40</v>
      </c>
      <c r="F136" s="16" t="s">
        <v>292</v>
      </c>
      <c r="G136" s="17">
        <v>3</v>
      </c>
      <c r="H136" s="19" t="s">
        <v>295</v>
      </c>
      <c r="I136" s="19" t="s">
        <v>296</v>
      </c>
      <c r="J136" s="23">
        <v>7.8566666666666665</v>
      </c>
      <c r="K136" s="38">
        <v>2.0816659994661379E-2</v>
      </c>
      <c r="L136" s="23">
        <v>11.966666666666669</v>
      </c>
      <c r="M136" s="38">
        <v>0.15275252316519414</v>
      </c>
      <c r="N136" s="23">
        <v>513.86666666666667</v>
      </c>
      <c r="O136" s="38">
        <v>80.512938918743089</v>
      </c>
      <c r="P136" s="23" t="s">
        <v>402</v>
      </c>
      <c r="Q136" s="38" t="s">
        <v>402</v>
      </c>
      <c r="R136" s="23">
        <v>2.5418746154372078</v>
      </c>
      <c r="S136" s="19">
        <v>11.5</v>
      </c>
      <c r="T136" s="34">
        <v>12.35</v>
      </c>
      <c r="U136" s="29">
        <v>44224</v>
      </c>
      <c r="V136" s="30">
        <v>0.46319444444444446</v>
      </c>
      <c r="W136" s="14">
        <f t="shared" si="9"/>
        <v>3</v>
      </c>
    </row>
    <row r="137" spans="1:23" x14ac:dyDescent="0.35">
      <c r="A137" t="str">
        <f t="shared" si="5"/>
        <v>ESTUDIO SEGUIMIENTO DESEMPEÑO AMBIENTAL ACUICULTURA EN CHILE Y SU EFECTO EN LOS ECOSISTEMAS DE EMPLAZAMIENTO 2020-2021</v>
      </c>
      <c r="B137" t="str">
        <f t="shared" si="6"/>
        <v>Objetivo 1. Actividad 2. Muestreos y Analisis sedimentos</v>
      </c>
      <c r="C137" t="str">
        <f t="shared" si="7"/>
        <v>Gastón Vidal</v>
      </c>
      <c r="D137" t="str">
        <f t="shared" si="8"/>
        <v>INSTITUTO DE FOMENTO PESQUERO</v>
      </c>
      <c r="E137" s="15" t="s">
        <v>40</v>
      </c>
      <c r="F137" s="16" t="s">
        <v>292</v>
      </c>
      <c r="G137" s="17">
        <v>5</v>
      </c>
      <c r="H137" s="19" t="s">
        <v>297</v>
      </c>
      <c r="I137" s="19" t="s">
        <v>298</v>
      </c>
      <c r="J137" s="23">
        <v>7.6433333333333335</v>
      </c>
      <c r="K137" s="38">
        <v>0.15143755588800742</v>
      </c>
      <c r="L137" s="23">
        <v>12.799999999999999</v>
      </c>
      <c r="M137" s="38">
        <v>0.36055512754639862</v>
      </c>
      <c r="N137" s="23">
        <v>461.09999999999997</v>
      </c>
      <c r="O137" s="38">
        <v>34.537950141836745</v>
      </c>
      <c r="P137" s="23" t="s">
        <v>402</v>
      </c>
      <c r="Q137" s="38" t="s">
        <v>402</v>
      </c>
      <c r="R137" s="23">
        <v>1.7305526998580416</v>
      </c>
      <c r="S137" s="19">
        <v>3.4</v>
      </c>
      <c r="T137" s="34">
        <v>11.94</v>
      </c>
      <c r="U137" s="29">
        <v>44223</v>
      </c>
      <c r="V137" s="30">
        <v>0.49305555555555558</v>
      </c>
      <c r="W137" s="14">
        <f t="shared" si="9"/>
        <v>5</v>
      </c>
    </row>
    <row r="138" spans="1:23" x14ac:dyDescent="0.35">
      <c r="A138" t="str">
        <f t="shared" si="5"/>
        <v>ESTUDIO SEGUIMIENTO DESEMPEÑO AMBIENTAL ACUICULTURA EN CHILE Y SU EFECTO EN LOS ECOSISTEMAS DE EMPLAZAMIENTO 2020-2021</v>
      </c>
      <c r="B138" t="str">
        <f t="shared" si="6"/>
        <v>Objetivo 1. Actividad 2. Muestreos y Analisis sedimentos</v>
      </c>
      <c r="C138" t="str">
        <f t="shared" si="7"/>
        <v>Gastón Vidal</v>
      </c>
      <c r="D138" t="str">
        <f t="shared" si="8"/>
        <v>INSTITUTO DE FOMENTO PESQUERO</v>
      </c>
      <c r="E138" s="15" t="s">
        <v>40</v>
      </c>
      <c r="F138" s="16" t="s">
        <v>292</v>
      </c>
      <c r="G138" s="17">
        <v>6</v>
      </c>
      <c r="H138" s="19" t="s">
        <v>299</v>
      </c>
      <c r="I138" s="19" t="s">
        <v>300</v>
      </c>
      <c r="J138" s="23">
        <v>7.6033333333333326</v>
      </c>
      <c r="K138" s="38">
        <v>5.7735026918966474E-3</v>
      </c>
      <c r="L138" s="23">
        <v>12</v>
      </c>
      <c r="M138" s="38">
        <v>9.9999999999999645E-2</v>
      </c>
      <c r="N138" s="23">
        <v>477.76666666666665</v>
      </c>
      <c r="O138" s="38">
        <v>30.93450069636383</v>
      </c>
      <c r="P138" s="23">
        <v>0.05</v>
      </c>
      <c r="Q138" s="38"/>
      <c r="R138" s="23">
        <v>1.15752193953281</v>
      </c>
      <c r="S138" s="19">
        <v>7.5</v>
      </c>
      <c r="T138" s="34">
        <v>11.87</v>
      </c>
      <c r="U138" s="29">
        <v>44222</v>
      </c>
      <c r="V138" s="30">
        <v>0.73958333333333337</v>
      </c>
      <c r="W138" s="14">
        <f t="shared" si="9"/>
        <v>6</v>
      </c>
    </row>
    <row r="139" spans="1:23" x14ac:dyDescent="0.35">
      <c r="A139" t="str">
        <f t="shared" si="5"/>
        <v>ESTUDIO SEGUIMIENTO DESEMPEÑO AMBIENTAL ACUICULTURA EN CHILE Y SU EFECTO EN LOS ECOSISTEMAS DE EMPLAZAMIENTO 2020-2021</v>
      </c>
      <c r="B139" t="str">
        <f t="shared" si="6"/>
        <v>Objetivo 1. Actividad 2. Muestreos y Analisis sedimentos</v>
      </c>
      <c r="C139" t="str">
        <f t="shared" si="7"/>
        <v>Gastón Vidal</v>
      </c>
      <c r="D139" t="str">
        <f t="shared" si="8"/>
        <v>INSTITUTO DE FOMENTO PESQUERO</v>
      </c>
      <c r="E139" s="15" t="s">
        <v>40</v>
      </c>
      <c r="F139" s="16" t="s">
        <v>292</v>
      </c>
      <c r="G139" s="17">
        <v>7</v>
      </c>
      <c r="H139" s="19" t="s">
        <v>301</v>
      </c>
      <c r="I139" s="19" t="s">
        <v>302</v>
      </c>
      <c r="J139" s="23">
        <v>7.6466666666666674</v>
      </c>
      <c r="K139" s="38">
        <v>8.3864970836061092E-2</v>
      </c>
      <c r="L139" s="23">
        <v>12.433333333333332</v>
      </c>
      <c r="M139" s="38">
        <v>0.11547005383792475</v>
      </c>
      <c r="N139" s="23">
        <v>378.33333333333331</v>
      </c>
      <c r="O139" s="38">
        <v>53.238551194912809</v>
      </c>
      <c r="P139" s="23">
        <v>27.80631102442057</v>
      </c>
      <c r="Q139" s="38">
        <v>20.9080518282559</v>
      </c>
      <c r="R139" s="23">
        <v>2.5027391730580768</v>
      </c>
      <c r="S139" s="19">
        <v>2</v>
      </c>
      <c r="T139" s="34">
        <v>11.84</v>
      </c>
      <c r="U139" s="29">
        <v>44222</v>
      </c>
      <c r="V139" s="30">
        <v>0.62916666666666665</v>
      </c>
      <c r="W139" s="14">
        <f t="shared" si="9"/>
        <v>7</v>
      </c>
    </row>
    <row r="140" spans="1:23" x14ac:dyDescent="0.35">
      <c r="A140" t="str">
        <f t="shared" si="5"/>
        <v>ESTUDIO SEGUIMIENTO DESEMPEÑO AMBIENTAL ACUICULTURA EN CHILE Y SU EFECTO EN LOS ECOSISTEMAS DE EMPLAZAMIENTO 2020-2021</v>
      </c>
      <c r="B140" t="str">
        <f t="shared" si="6"/>
        <v>Objetivo 1. Actividad 2. Muestreos y Analisis sedimentos</v>
      </c>
      <c r="C140" t="str">
        <f t="shared" si="7"/>
        <v>Gastón Vidal</v>
      </c>
      <c r="D140" t="str">
        <f t="shared" si="8"/>
        <v>INSTITUTO DE FOMENTO PESQUERO</v>
      </c>
      <c r="E140" s="15" t="s">
        <v>40</v>
      </c>
      <c r="F140" s="16" t="s">
        <v>292</v>
      </c>
      <c r="G140" s="17">
        <v>10</v>
      </c>
      <c r="H140" s="19" t="s">
        <v>303</v>
      </c>
      <c r="I140" s="19" t="s">
        <v>304</v>
      </c>
      <c r="J140" s="23">
        <v>7.583333333333333</v>
      </c>
      <c r="K140" s="38">
        <v>6.6583281184794035E-2</v>
      </c>
      <c r="L140" s="23">
        <v>12.299999999999999</v>
      </c>
      <c r="M140" s="38">
        <v>0.20000000000000018</v>
      </c>
      <c r="N140" s="23">
        <v>431.2</v>
      </c>
      <c r="O140" s="38">
        <v>130.96789682971939</v>
      </c>
      <c r="P140" s="23">
        <v>0.05</v>
      </c>
      <c r="Q140" s="38"/>
      <c r="R140" s="23">
        <v>1.5049299429164549</v>
      </c>
      <c r="S140" s="19">
        <v>7</v>
      </c>
      <c r="T140" s="34">
        <v>11.85</v>
      </c>
      <c r="U140" s="29">
        <v>44221</v>
      </c>
      <c r="V140" s="30">
        <v>0.62152777777777779</v>
      </c>
      <c r="W140" s="14">
        <f t="shared" si="9"/>
        <v>10</v>
      </c>
    </row>
    <row r="141" spans="1:23" x14ac:dyDescent="0.35">
      <c r="A141" t="str">
        <f t="shared" si="5"/>
        <v>ESTUDIO SEGUIMIENTO DESEMPEÑO AMBIENTAL ACUICULTURA EN CHILE Y SU EFECTO EN LOS ECOSISTEMAS DE EMPLAZAMIENTO 2020-2021</v>
      </c>
      <c r="B141" t="str">
        <f t="shared" si="6"/>
        <v>Objetivo 1. Actividad 2. Muestreos y Analisis sedimentos</v>
      </c>
      <c r="C141" t="str">
        <f t="shared" si="7"/>
        <v>Gastón Vidal</v>
      </c>
      <c r="D141" t="str">
        <f t="shared" si="8"/>
        <v>INSTITUTO DE FOMENTO PESQUERO</v>
      </c>
      <c r="E141" s="15" t="s">
        <v>40</v>
      </c>
      <c r="F141" s="16" t="s">
        <v>292</v>
      </c>
      <c r="G141" s="17">
        <v>11</v>
      </c>
      <c r="H141" s="19" t="s">
        <v>305</v>
      </c>
      <c r="I141" s="19" t="s">
        <v>306</v>
      </c>
      <c r="J141" s="23">
        <v>7.6166666666666671</v>
      </c>
      <c r="K141" s="38">
        <v>0.41186567389542589</v>
      </c>
      <c r="L141" s="23">
        <v>12.633333333333333</v>
      </c>
      <c r="M141" s="38">
        <v>0.15275252316519508</v>
      </c>
      <c r="N141" s="23">
        <v>592.26666666666665</v>
      </c>
      <c r="O141" s="38">
        <v>5.2290853247325577</v>
      </c>
      <c r="P141" s="23">
        <v>0.05</v>
      </c>
      <c r="Q141" s="38"/>
      <c r="R141" s="23">
        <v>0.97696732574116596</v>
      </c>
      <c r="S141" s="19">
        <v>6.5</v>
      </c>
      <c r="T141" s="34">
        <v>11.75</v>
      </c>
      <c r="U141" s="29">
        <v>44221</v>
      </c>
      <c r="V141" s="30">
        <v>0.5708333333333333</v>
      </c>
      <c r="W141" s="14">
        <f t="shared" si="9"/>
        <v>11</v>
      </c>
    </row>
    <row r="142" spans="1:23" x14ac:dyDescent="0.35">
      <c r="A142" t="str">
        <f t="shared" si="5"/>
        <v>ESTUDIO SEGUIMIENTO DESEMPEÑO AMBIENTAL ACUICULTURA EN CHILE Y SU EFECTO EN LOS ECOSISTEMAS DE EMPLAZAMIENTO 2020-2021</v>
      </c>
      <c r="B142" t="str">
        <f t="shared" si="6"/>
        <v>Objetivo 1. Actividad 2. Muestreos y Analisis sedimentos</v>
      </c>
      <c r="C142" t="str">
        <f t="shared" si="7"/>
        <v>Gastón Vidal</v>
      </c>
      <c r="D142" t="str">
        <f t="shared" si="8"/>
        <v>INSTITUTO DE FOMENTO PESQUERO</v>
      </c>
      <c r="E142" s="15" t="s">
        <v>40</v>
      </c>
      <c r="F142" s="16" t="s">
        <v>292</v>
      </c>
      <c r="G142" s="17">
        <v>13</v>
      </c>
      <c r="H142" s="19" t="s">
        <v>307</v>
      </c>
      <c r="I142" s="19" t="s">
        <v>308</v>
      </c>
      <c r="J142" s="23">
        <v>7.2633333333333328</v>
      </c>
      <c r="K142" s="38">
        <v>2.081665999466124E-2</v>
      </c>
      <c r="L142" s="23">
        <v>11.700000000000001</v>
      </c>
      <c r="M142" s="38">
        <v>0.26457513110645914</v>
      </c>
      <c r="N142" s="23">
        <v>596.16666666666663</v>
      </c>
      <c r="O142" s="38">
        <v>12.267572430327602</v>
      </c>
      <c r="P142" s="23">
        <v>0.05</v>
      </c>
      <c r="Q142" s="38"/>
      <c r="R142" s="23">
        <v>3.0342444478955994</v>
      </c>
      <c r="S142" s="19">
        <v>5</v>
      </c>
      <c r="T142" s="34">
        <v>11.9</v>
      </c>
      <c r="U142" s="29">
        <v>44220</v>
      </c>
      <c r="V142" s="30">
        <v>0.3888888888888889</v>
      </c>
      <c r="W142" s="14">
        <f t="shared" si="9"/>
        <v>13</v>
      </c>
    </row>
    <row r="143" spans="1:23" x14ac:dyDescent="0.35">
      <c r="A143" t="str">
        <f t="shared" si="5"/>
        <v>ESTUDIO SEGUIMIENTO DESEMPEÑO AMBIENTAL ACUICULTURA EN CHILE Y SU EFECTO EN LOS ECOSISTEMAS DE EMPLAZAMIENTO 2020-2021</v>
      </c>
      <c r="B143" t="str">
        <f t="shared" si="6"/>
        <v>Objetivo 1. Actividad 2. Muestreos y Analisis sedimentos</v>
      </c>
      <c r="C143" t="str">
        <f t="shared" si="7"/>
        <v>Gastón Vidal</v>
      </c>
      <c r="D143" t="str">
        <f t="shared" si="8"/>
        <v>INSTITUTO DE FOMENTO PESQUERO</v>
      </c>
      <c r="E143" s="15" t="s">
        <v>40</v>
      </c>
      <c r="F143" s="16" t="s">
        <v>292</v>
      </c>
      <c r="G143" s="17">
        <v>18</v>
      </c>
      <c r="H143" s="19" t="s">
        <v>309</v>
      </c>
      <c r="I143" s="19" t="s">
        <v>310</v>
      </c>
      <c r="J143" s="23">
        <v>7.3066666666666675</v>
      </c>
      <c r="K143" s="38">
        <v>4.9328828623162443E-2</v>
      </c>
      <c r="L143" s="23">
        <v>12.366666666666667</v>
      </c>
      <c r="M143" s="38">
        <v>5.7735026918962373E-2</v>
      </c>
      <c r="N143" s="23">
        <v>239.73333333333335</v>
      </c>
      <c r="O143" s="38">
        <v>9.2359803666602485</v>
      </c>
      <c r="P143" s="23">
        <v>0.05</v>
      </c>
      <c r="Q143" s="38"/>
      <c r="R143" s="23">
        <v>1.5393548387097113</v>
      </c>
      <c r="S143" s="19">
        <v>3</v>
      </c>
      <c r="T143" s="34">
        <v>13.95</v>
      </c>
      <c r="U143" s="29">
        <v>44219</v>
      </c>
      <c r="V143" s="30">
        <v>0.77361111111111114</v>
      </c>
      <c r="W143" s="14">
        <f t="shared" si="9"/>
        <v>18</v>
      </c>
    </row>
    <row r="144" spans="1:23" x14ac:dyDescent="0.35">
      <c r="A144" t="str">
        <f t="shared" si="5"/>
        <v>ESTUDIO SEGUIMIENTO DESEMPEÑO AMBIENTAL ACUICULTURA EN CHILE Y SU EFECTO EN LOS ECOSISTEMAS DE EMPLAZAMIENTO 2020-2021</v>
      </c>
      <c r="B144" t="str">
        <f t="shared" si="6"/>
        <v>Objetivo 1. Actividad 2. Muestreos y Analisis sedimentos</v>
      </c>
      <c r="C144" t="str">
        <f t="shared" si="7"/>
        <v>Gastón Vidal</v>
      </c>
      <c r="D144" t="str">
        <f t="shared" si="8"/>
        <v>INSTITUTO DE FOMENTO PESQUERO</v>
      </c>
      <c r="E144" s="15" t="s">
        <v>40</v>
      </c>
      <c r="F144" s="16" t="s">
        <v>292</v>
      </c>
      <c r="G144" s="17">
        <v>19</v>
      </c>
      <c r="H144" s="19" t="s">
        <v>311</v>
      </c>
      <c r="I144" s="19" t="s">
        <v>312</v>
      </c>
      <c r="J144" s="23">
        <v>7.32</v>
      </c>
      <c r="K144" s="38">
        <v>3.6055512754640105E-2</v>
      </c>
      <c r="L144" s="23">
        <v>13.199999999999998</v>
      </c>
      <c r="M144" s="38">
        <v>0.10000000000000053</v>
      </c>
      <c r="N144" s="23">
        <v>262.89999999999998</v>
      </c>
      <c r="O144" s="38">
        <v>58.983387491733708</v>
      </c>
      <c r="P144" s="23">
        <v>0.05</v>
      </c>
      <c r="Q144" s="38"/>
      <c r="R144" s="23">
        <v>2.2561399872685022</v>
      </c>
      <c r="S144" s="19">
        <v>4</v>
      </c>
      <c r="T144" s="34">
        <v>14.07</v>
      </c>
      <c r="U144" s="29">
        <v>44219</v>
      </c>
      <c r="V144" s="30">
        <v>0.72569444444444453</v>
      </c>
      <c r="W144" s="14">
        <f t="shared" si="9"/>
        <v>19</v>
      </c>
    </row>
    <row r="145" spans="1:23" x14ac:dyDescent="0.35">
      <c r="A145" t="str">
        <f t="shared" si="5"/>
        <v>ESTUDIO SEGUIMIENTO DESEMPEÑO AMBIENTAL ACUICULTURA EN CHILE Y SU EFECTO EN LOS ECOSISTEMAS DE EMPLAZAMIENTO 2020-2021</v>
      </c>
      <c r="B145" t="str">
        <f t="shared" si="6"/>
        <v>Objetivo 1. Actividad 2. Muestreos y Analisis sedimentos</v>
      </c>
      <c r="C145" t="str">
        <f t="shared" si="7"/>
        <v>Gastón Vidal</v>
      </c>
      <c r="D145" t="str">
        <f t="shared" si="8"/>
        <v>INSTITUTO DE FOMENTO PESQUERO</v>
      </c>
      <c r="E145" s="15" t="s">
        <v>40</v>
      </c>
      <c r="F145" s="16" t="s">
        <v>292</v>
      </c>
      <c r="G145" s="17">
        <v>24</v>
      </c>
      <c r="H145" s="19" t="s">
        <v>313</v>
      </c>
      <c r="I145" s="19" t="s">
        <v>314</v>
      </c>
      <c r="J145" s="23">
        <v>7.169999999999999</v>
      </c>
      <c r="K145" s="38">
        <v>0.24433583445741253</v>
      </c>
      <c r="L145" s="23">
        <v>13.566666666666668</v>
      </c>
      <c r="M145" s="38">
        <v>0.15275252316519414</v>
      </c>
      <c r="N145" s="23">
        <v>178.63333333333335</v>
      </c>
      <c r="O145" s="38">
        <v>68.154848201234529</v>
      </c>
      <c r="P145" s="23">
        <v>11.381438938517155</v>
      </c>
      <c r="Q145" s="38">
        <v>4.3821534795767541</v>
      </c>
      <c r="R145" s="23">
        <v>1.2238619037246798</v>
      </c>
      <c r="S145" s="19">
        <v>2</v>
      </c>
      <c r="T145" s="34">
        <v>12.64</v>
      </c>
      <c r="U145" s="29">
        <v>44219</v>
      </c>
      <c r="V145" s="30">
        <v>0.54513888888888895</v>
      </c>
      <c r="W145" s="14">
        <f t="shared" si="9"/>
        <v>24</v>
      </c>
    </row>
    <row r="146" spans="1:23" x14ac:dyDescent="0.35">
      <c r="A146" t="str">
        <f t="shared" ref="A146:A186" si="10">$B$1</f>
        <v>ESTUDIO SEGUIMIENTO DESEMPEÑO AMBIENTAL ACUICULTURA EN CHILE Y SU EFECTO EN LOS ECOSISTEMAS DE EMPLAZAMIENTO 2020-2021</v>
      </c>
      <c r="B146" t="str">
        <f t="shared" ref="B146:B186" si="11">$B$2</f>
        <v>Objetivo 1. Actividad 2. Muestreos y Analisis sedimentos</v>
      </c>
      <c r="C146" t="str">
        <f t="shared" ref="C146:C186" si="12">$B$3</f>
        <v>Gastón Vidal</v>
      </c>
      <c r="D146" t="str">
        <f t="shared" ref="D146:D186" si="13">$B$4</f>
        <v>INSTITUTO DE FOMENTO PESQUERO</v>
      </c>
      <c r="E146" s="15" t="s">
        <v>40</v>
      </c>
      <c r="F146" s="16" t="s">
        <v>292</v>
      </c>
      <c r="G146" s="17">
        <v>25</v>
      </c>
      <c r="H146" s="19" t="s">
        <v>315</v>
      </c>
      <c r="I146" s="19" t="s">
        <v>316</v>
      </c>
      <c r="J146" s="23">
        <v>7.3599999999999994</v>
      </c>
      <c r="K146" s="38">
        <v>2.6457513110645845E-2</v>
      </c>
      <c r="L146" s="23">
        <v>13</v>
      </c>
      <c r="M146" s="38">
        <v>0.17320508075688712</v>
      </c>
      <c r="N146" s="23">
        <v>253.56666666666663</v>
      </c>
      <c r="O146" s="38">
        <v>18.564571994348093</v>
      </c>
      <c r="P146" s="23">
        <v>0.05</v>
      </c>
      <c r="Q146" s="38"/>
      <c r="R146" s="23">
        <v>1.9367888012572227</v>
      </c>
      <c r="S146" s="19">
        <v>11</v>
      </c>
      <c r="T146" s="34">
        <v>12.72</v>
      </c>
      <c r="U146" s="29">
        <v>44219</v>
      </c>
      <c r="V146" s="30">
        <v>0.45624999999999999</v>
      </c>
      <c r="W146" s="14">
        <f t="shared" ref="W146:W186" si="14">G146</f>
        <v>25</v>
      </c>
    </row>
    <row r="147" spans="1:23" x14ac:dyDescent="0.35">
      <c r="A147" t="str">
        <f t="shared" si="10"/>
        <v>ESTUDIO SEGUIMIENTO DESEMPEÑO AMBIENTAL ACUICULTURA EN CHILE Y SU EFECTO EN LOS ECOSISTEMAS DE EMPLAZAMIENTO 2020-2021</v>
      </c>
      <c r="B147" t="str">
        <f t="shared" si="11"/>
        <v>Objetivo 1. Actividad 2. Muestreos y Analisis sedimentos</v>
      </c>
      <c r="C147" t="str">
        <f t="shared" si="12"/>
        <v>Gastón Vidal</v>
      </c>
      <c r="D147" t="str">
        <f t="shared" si="13"/>
        <v>INSTITUTO DE FOMENTO PESQUERO</v>
      </c>
      <c r="E147" s="15" t="s">
        <v>40</v>
      </c>
      <c r="F147" s="16" t="s">
        <v>292</v>
      </c>
      <c r="G147" s="17">
        <v>28</v>
      </c>
      <c r="H147" s="19" t="s">
        <v>317</v>
      </c>
      <c r="I147" s="19" t="s">
        <v>318</v>
      </c>
      <c r="J147" s="23">
        <v>7.3900000000000006</v>
      </c>
      <c r="K147" s="38">
        <v>0.11789826122551617</v>
      </c>
      <c r="L147" s="23">
        <v>12.466666666666669</v>
      </c>
      <c r="M147" s="38">
        <v>0.30550504633039</v>
      </c>
      <c r="N147" s="23">
        <v>215.73333333333335</v>
      </c>
      <c r="O147" s="38">
        <v>15.584073066221594</v>
      </c>
      <c r="P147" s="23">
        <v>0.05</v>
      </c>
      <c r="Q147" s="38"/>
      <c r="R147" s="23">
        <v>0.92203107296810616</v>
      </c>
      <c r="S147" s="19">
        <v>6</v>
      </c>
      <c r="T147" s="34">
        <v>12.93</v>
      </c>
      <c r="U147" s="29">
        <v>44219</v>
      </c>
      <c r="V147" s="30">
        <v>0.35416666666666669</v>
      </c>
      <c r="W147" s="14">
        <f t="shared" si="14"/>
        <v>28</v>
      </c>
    </row>
    <row r="148" spans="1:23" x14ac:dyDescent="0.35">
      <c r="A148" t="str">
        <f t="shared" si="10"/>
        <v>ESTUDIO SEGUIMIENTO DESEMPEÑO AMBIENTAL ACUICULTURA EN CHILE Y SU EFECTO EN LOS ECOSISTEMAS DE EMPLAZAMIENTO 2020-2021</v>
      </c>
      <c r="B148" t="str">
        <f t="shared" si="11"/>
        <v>Objetivo 1. Actividad 2. Muestreos y Analisis sedimentos</v>
      </c>
      <c r="C148" t="str">
        <f t="shared" si="12"/>
        <v>Gastón Vidal</v>
      </c>
      <c r="D148" t="str">
        <f t="shared" si="13"/>
        <v>INSTITUTO DE FOMENTO PESQUERO</v>
      </c>
      <c r="E148" s="15" t="s">
        <v>40</v>
      </c>
      <c r="F148" s="16" t="s">
        <v>292</v>
      </c>
      <c r="G148" s="17">
        <v>30</v>
      </c>
      <c r="H148" s="19" t="s">
        <v>319</v>
      </c>
      <c r="I148" s="19" t="s">
        <v>320</v>
      </c>
      <c r="J148" s="23">
        <v>7.3599999999999994</v>
      </c>
      <c r="K148" s="38">
        <v>0.13527749258468705</v>
      </c>
      <c r="L148" s="23">
        <v>13.866666666666667</v>
      </c>
      <c r="M148" s="38">
        <v>5.7735026918962373E-2</v>
      </c>
      <c r="N148" s="23">
        <v>218.60000000000002</v>
      </c>
      <c r="O148" s="38">
        <v>51.995095922596441</v>
      </c>
      <c r="P148" s="23">
        <v>0.05</v>
      </c>
      <c r="Q148" s="38"/>
      <c r="R148" s="23">
        <v>0.78164906570369752</v>
      </c>
      <c r="S148" s="19">
        <v>6.4</v>
      </c>
      <c r="T148" s="34">
        <v>13.27</v>
      </c>
      <c r="U148" s="29">
        <v>44218</v>
      </c>
      <c r="V148" s="30">
        <v>0.65555555555555556</v>
      </c>
      <c r="W148" s="14">
        <f t="shared" si="14"/>
        <v>30</v>
      </c>
    </row>
    <row r="149" spans="1:23" x14ac:dyDescent="0.35">
      <c r="A149" t="str">
        <f t="shared" si="10"/>
        <v>ESTUDIO SEGUIMIENTO DESEMPEÑO AMBIENTAL ACUICULTURA EN CHILE Y SU EFECTO EN LOS ECOSISTEMAS DE EMPLAZAMIENTO 2020-2021</v>
      </c>
      <c r="B149" t="str">
        <f t="shared" si="11"/>
        <v>Objetivo 1. Actividad 2. Muestreos y Analisis sedimentos</v>
      </c>
      <c r="C149" t="str">
        <f t="shared" si="12"/>
        <v>Gastón Vidal</v>
      </c>
      <c r="D149" t="str">
        <f t="shared" si="13"/>
        <v>INSTITUTO DE FOMENTO PESQUERO</v>
      </c>
      <c r="E149" s="15" t="s">
        <v>40</v>
      </c>
      <c r="F149" s="16" t="s">
        <v>292</v>
      </c>
      <c r="G149" s="21">
        <v>34</v>
      </c>
      <c r="H149" s="22" t="s">
        <v>321</v>
      </c>
      <c r="I149" s="22" t="s">
        <v>322</v>
      </c>
      <c r="J149" s="24">
        <v>7.0933333333333337</v>
      </c>
      <c r="K149" s="39">
        <v>0.21548395145191993</v>
      </c>
      <c r="L149" s="24">
        <v>13.4</v>
      </c>
      <c r="M149" s="39">
        <v>0</v>
      </c>
      <c r="N149" s="24">
        <v>296.26666666666665</v>
      </c>
      <c r="O149" s="39">
        <v>31.366277007852446</v>
      </c>
      <c r="P149" s="24">
        <v>234.29787358082095</v>
      </c>
      <c r="Q149" s="39">
        <v>325.4871763552045</v>
      </c>
      <c r="R149" s="24">
        <v>1.3055120076582281</v>
      </c>
      <c r="S149" s="22">
        <v>3.7</v>
      </c>
      <c r="T149" s="35">
        <v>12.64</v>
      </c>
      <c r="U149" s="31">
        <v>44223</v>
      </c>
      <c r="V149" s="32">
        <v>0.71250000000000002</v>
      </c>
      <c r="W149" s="14">
        <f t="shared" si="14"/>
        <v>34</v>
      </c>
    </row>
    <row r="150" spans="1:23" x14ac:dyDescent="0.35">
      <c r="A150" t="str">
        <f t="shared" si="10"/>
        <v>ESTUDIO SEGUIMIENTO DESEMPEÑO AMBIENTAL ACUICULTURA EN CHILE Y SU EFECTO EN LOS ECOSISTEMAS DE EMPLAZAMIENTO 2020-2021</v>
      </c>
      <c r="B150" t="str">
        <f t="shared" si="11"/>
        <v>Objetivo 1. Actividad 2. Muestreos y Analisis sedimentos</v>
      </c>
      <c r="C150" t="str">
        <f t="shared" si="12"/>
        <v>Gastón Vidal</v>
      </c>
      <c r="D150" t="str">
        <f t="shared" si="13"/>
        <v>INSTITUTO DE FOMENTO PESQUERO</v>
      </c>
      <c r="E150" s="15" t="s">
        <v>40</v>
      </c>
      <c r="F150" s="16" t="s">
        <v>323</v>
      </c>
      <c r="G150" s="17">
        <v>1</v>
      </c>
      <c r="H150" s="19" t="s">
        <v>324</v>
      </c>
      <c r="I150" s="19" t="s">
        <v>325</v>
      </c>
      <c r="J150" s="23">
        <v>7.5399999999999991</v>
      </c>
      <c r="K150" s="38">
        <v>8.1853527718724603E-2</v>
      </c>
      <c r="L150" s="23">
        <v>15.233333333333334</v>
      </c>
      <c r="M150" s="38">
        <v>0.55075705472861036</v>
      </c>
      <c r="N150" s="23">
        <v>353.16666666666669</v>
      </c>
      <c r="O150" s="38">
        <v>33.402744398227739</v>
      </c>
      <c r="P150" s="23" t="s">
        <v>402</v>
      </c>
      <c r="Q150" s="38" t="s">
        <v>402</v>
      </c>
      <c r="R150" s="23">
        <v>0.90760733115744441</v>
      </c>
      <c r="S150" s="23">
        <v>2</v>
      </c>
      <c r="T150" s="23">
        <v>15</v>
      </c>
      <c r="U150" s="29">
        <v>44294</v>
      </c>
      <c r="V150" s="30" t="s">
        <v>402</v>
      </c>
      <c r="W150" s="14">
        <f t="shared" si="14"/>
        <v>1</v>
      </c>
    </row>
    <row r="151" spans="1:23" x14ac:dyDescent="0.35">
      <c r="A151" t="str">
        <f t="shared" si="10"/>
        <v>ESTUDIO SEGUIMIENTO DESEMPEÑO AMBIENTAL ACUICULTURA EN CHILE Y SU EFECTO EN LOS ECOSISTEMAS DE EMPLAZAMIENTO 2020-2021</v>
      </c>
      <c r="B151" t="str">
        <f t="shared" si="11"/>
        <v>Objetivo 1. Actividad 2. Muestreos y Analisis sedimentos</v>
      </c>
      <c r="C151" t="str">
        <f t="shared" si="12"/>
        <v>Gastón Vidal</v>
      </c>
      <c r="D151" t="str">
        <f t="shared" si="13"/>
        <v>INSTITUTO DE FOMENTO PESQUERO</v>
      </c>
      <c r="E151" s="15" t="s">
        <v>40</v>
      </c>
      <c r="F151" s="16" t="s">
        <v>323</v>
      </c>
      <c r="G151" s="17">
        <v>4</v>
      </c>
      <c r="H151" s="19" t="s">
        <v>326</v>
      </c>
      <c r="I151" s="19" t="s">
        <v>327</v>
      </c>
      <c r="J151" s="23">
        <v>7.2700000000000005</v>
      </c>
      <c r="K151" s="38">
        <v>0.22649503305812255</v>
      </c>
      <c r="L151" s="23">
        <v>15.6</v>
      </c>
      <c r="M151" s="38">
        <v>0.26457513110645914</v>
      </c>
      <c r="N151" s="23">
        <v>219.66666666666666</v>
      </c>
      <c r="O151" s="38">
        <v>19.569448978786632</v>
      </c>
      <c r="P151" s="23">
        <v>0.05</v>
      </c>
      <c r="Q151" s="38"/>
      <c r="R151" s="23">
        <v>0.78842770574050391</v>
      </c>
      <c r="S151" s="23">
        <v>7</v>
      </c>
      <c r="T151" s="23">
        <v>15</v>
      </c>
      <c r="U151" s="29">
        <v>44294</v>
      </c>
      <c r="V151" s="30" t="s">
        <v>402</v>
      </c>
      <c r="W151" s="14">
        <f t="shared" si="14"/>
        <v>4</v>
      </c>
    </row>
    <row r="152" spans="1:23" x14ac:dyDescent="0.35">
      <c r="A152" t="str">
        <f t="shared" si="10"/>
        <v>ESTUDIO SEGUIMIENTO DESEMPEÑO AMBIENTAL ACUICULTURA EN CHILE Y SU EFECTO EN LOS ECOSISTEMAS DE EMPLAZAMIENTO 2020-2021</v>
      </c>
      <c r="B152" t="str">
        <f t="shared" si="11"/>
        <v>Objetivo 1. Actividad 2. Muestreos y Analisis sedimentos</v>
      </c>
      <c r="C152" t="str">
        <f t="shared" si="12"/>
        <v>Gastón Vidal</v>
      </c>
      <c r="D152" t="str">
        <f t="shared" si="13"/>
        <v>INSTITUTO DE FOMENTO PESQUERO</v>
      </c>
      <c r="E152" s="15" t="s">
        <v>40</v>
      </c>
      <c r="F152" s="16" t="s">
        <v>323</v>
      </c>
      <c r="G152" s="17">
        <v>5</v>
      </c>
      <c r="H152" s="19" t="s">
        <v>328</v>
      </c>
      <c r="I152" s="19" t="s">
        <v>329</v>
      </c>
      <c r="J152" s="23">
        <v>7.34</v>
      </c>
      <c r="K152" s="38">
        <v>9.1651513899117076E-2</v>
      </c>
      <c r="L152" s="23">
        <v>13.433333333333335</v>
      </c>
      <c r="M152" s="38">
        <v>0.15275252316519414</v>
      </c>
      <c r="N152" s="23">
        <v>518.73333333333335</v>
      </c>
      <c r="O152" s="38">
        <v>12.6894969692787</v>
      </c>
      <c r="P152" s="23">
        <v>342.62896872933987</v>
      </c>
      <c r="Q152" s="38">
        <v>368.79577824769825</v>
      </c>
      <c r="R152" s="23">
        <v>2.2878529004962846</v>
      </c>
      <c r="S152" s="23">
        <v>8</v>
      </c>
      <c r="T152" s="23">
        <v>15</v>
      </c>
      <c r="U152" s="29">
        <v>44294</v>
      </c>
      <c r="V152" s="30" t="s">
        <v>402</v>
      </c>
      <c r="W152" s="14">
        <f t="shared" si="14"/>
        <v>5</v>
      </c>
    </row>
    <row r="153" spans="1:23" x14ac:dyDescent="0.35">
      <c r="A153" t="str">
        <f t="shared" si="10"/>
        <v>ESTUDIO SEGUIMIENTO DESEMPEÑO AMBIENTAL ACUICULTURA EN CHILE Y SU EFECTO EN LOS ECOSISTEMAS DE EMPLAZAMIENTO 2020-2021</v>
      </c>
      <c r="B153" t="str">
        <f t="shared" si="11"/>
        <v>Objetivo 1. Actividad 2. Muestreos y Analisis sedimentos</v>
      </c>
      <c r="C153" t="str">
        <f t="shared" si="12"/>
        <v>Gastón Vidal</v>
      </c>
      <c r="D153" t="str">
        <f t="shared" si="13"/>
        <v>INSTITUTO DE FOMENTO PESQUERO</v>
      </c>
      <c r="E153" s="15" t="s">
        <v>40</v>
      </c>
      <c r="F153" s="16" t="s">
        <v>323</v>
      </c>
      <c r="G153" s="17">
        <v>7</v>
      </c>
      <c r="H153" s="19" t="s">
        <v>330</v>
      </c>
      <c r="I153" s="19" t="s">
        <v>331</v>
      </c>
      <c r="J153" s="23">
        <v>7.6533333333333333</v>
      </c>
      <c r="K153" s="38">
        <v>5.0332229568471942E-2</v>
      </c>
      <c r="L153" s="23">
        <v>14.566666666666668</v>
      </c>
      <c r="M153" s="38">
        <v>0.28867513459481292</v>
      </c>
      <c r="N153" s="23">
        <v>396.90000000000003</v>
      </c>
      <c r="O153" s="38">
        <v>13.073255141700537</v>
      </c>
      <c r="P153" s="23">
        <v>0.05</v>
      </c>
      <c r="Q153" s="38"/>
      <c r="R153" s="23">
        <v>0.66045540230820587</v>
      </c>
      <c r="S153" s="23">
        <v>9</v>
      </c>
      <c r="T153" s="23">
        <v>14</v>
      </c>
      <c r="U153" s="29">
        <v>44294</v>
      </c>
      <c r="V153" s="30" t="s">
        <v>402</v>
      </c>
      <c r="W153" s="14">
        <f t="shared" si="14"/>
        <v>7</v>
      </c>
    </row>
    <row r="154" spans="1:23" x14ac:dyDescent="0.35">
      <c r="A154" t="str">
        <f t="shared" si="10"/>
        <v>ESTUDIO SEGUIMIENTO DESEMPEÑO AMBIENTAL ACUICULTURA EN CHILE Y SU EFECTO EN LOS ECOSISTEMAS DE EMPLAZAMIENTO 2020-2021</v>
      </c>
      <c r="B154" t="str">
        <f t="shared" si="11"/>
        <v>Objetivo 1. Actividad 2. Muestreos y Analisis sedimentos</v>
      </c>
      <c r="C154" t="str">
        <f t="shared" si="12"/>
        <v>Gastón Vidal</v>
      </c>
      <c r="D154" t="str">
        <f t="shared" si="13"/>
        <v>INSTITUTO DE FOMENTO PESQUERO</v>
      </c>
      <c r="E154" s="15" t="s">
        <v>40</v>
      </c>
      <c r="F154" s="16" t="s">
        <v>323</v>
      </c>
      <c r="G154" s="17">
        <v>9</v>
      </c>
      <c r="H154" s="19" t="s">
        <v>332</v>
      </c>
      <c r="I154" s="19" t="s">
        <v>333</v>
      </c>
      <c r="J154" s="23">
        <v>7.6266666666666678</v>
      </c>
      <c r="K154" s="38">
        <v>0.1266227994214835</v>
      </c>
      <c r="L154" s="23">
        <v>13.933333333333332</v>
      </c>
      <c r="M154" s="38">
        <v>0.11547005383792475</v>
      </c>
      <c r="N154" s="23">
        <v>361.66666666666669</v>
      </c>
      <c r="O154" s="38">
        <v>25.501045730191819</v>
      </c>
      <c r="P154" s="23">
        <v>0.05</v>
      </c>
      <c r="Q154" s="38"/>
      <c r="R154" s="23">
        <v>0.93172778292377889</v>
      </c>
      <c r="S154" s="23">
        <v>5</v>
      </c>
      <c r="T154" s="23">
        <v>14</v>
      </c>
      <c r="U154" s="29">
        <v>44294</v>
      </c>
      <c r="V154" s="30" t="s">
        <v>402</v>
      </c>
      <c r="W154" s="14">
        <f t="shared" si="14"/>
        <v>9</v>
      </c>
    </row>
    <row r="155" spans="1:23" x14ac:dyDescent="0.35">
      <c r="A155" t="str">
        <f t="shared" si="10"/>
        <v>ESTUDIO SEGUIMIENTO DESEMPEÑO AMBIENTAL ACUICULTURA EN CHILE Y SU EFECTO EN LOS ECOSISTEMAS DE EMPLAZAMIENTO 2020-2021</v>
      </c>
      <c r="B155" t="str">
        <f t="shared" si="11"/>
        <v>Objetivo 1. Actividad 2. Muestreos y Analisis sedimentos</v>
      </c>
      <c r="C155" t="str">
        <f t="shared" si="12"/>
        <v>Gastón Vidal</v>
      </c>
      <c r="D155" t="str">
        <f t="shared" si="13"/>
        <v>INSTITUTO DE FOMENTO PESQUERO</v>
      </c>
      <c r="E155" s="15" t="s">
        <v>40</v>
      </c>
      <c r="F155" s="16" t="s">
        <v>323</v>
      </c>
      <c r="G155" s="17">
        <v>10</v>
      </c>
      <c r="H155" s="19" t="s">
        <v>334</v>
      </c>
      <c r="I155" s="19" t="s">
        <v>335</v>
      </c>
      <c r="J155" s="23">
        <v>7.55</v>
      </c>
      <c r="K155" s="38">
        <v>7.21110255092796E-2</v>
      </c>
      <c r="L155" s="23">
        <v>13.799999999999999</v>
      </c>
      <c r="M155" s="38">
        <v>0.51961524227066347</v>
      </c>
      <c r="N155" s="23">
        <v>390.8</v>
      </c>
      <c r="O155" s="38">
        <v>7.5624070242218417</v>
      </c>
      <c r="P155" s="23">
        <v>0.05</v>
      </c>
      <c r="Q155" s="38"/>
      <c r="R155" s="23">
        <v>0.80508269072212557</v>
      </c>
      <c r="S155" s="23">
        <v>7</v>
      </c>
      <c r="T155" s="23">
        <v>14</v>
      </c>
      <c r="U155" s="29">
        <v>44294</v>
      </c>
      <c r="V155" s="30" t="s">
        <v>402</v>
      </c>
      <c r="W155" s="14">
        <f t="shared" si="14"/>
        <v>10</v>
      </c>
    </row>
    <row r="156" spans="1:23" x14ac:dyDescent="0.35">
      <c r="A156" t="str">
        <f t="shared" si="10"/>
        <v>ESTUDIO SEGUIMIENTO DESEMPEÑO AMBIENTAL ACUICULTURA EN CHILE Y SU EFECTO EN LOS ECOSISTEMAS DE EMPLAZAMIENTO 2020-2021</v>
      </c>
      <c r="B156" t="str">
        <f t="shared" si="11"/>
        <v>Objetivo 1. Actividad 2. Muestreos y Analisis sedimentos</v>
      </c>
      <c r="C156" t="str">
        <f t="shared" si="12"/>
        <v>Gastón Vidal</v>
      </c>
      <c r="D156" t="str">
        <f t="shared" si="13"/>
        <v>INSTITUTO DE FOMENTO PESQUERO</v>
      </c>
      <c r="E156" s="15" t="s">
        <v>40</v>
      </c>
      <c r="F156" s="16" t="s">
        <v>323</v>
      </c>
      <c r="G156" s="17">
        <v>13</v>
      </c>
      <c r="H156" s="19" t="s">
        <v>336</v>
      </c>
      <c r="I156" s="19" t="s">
        <v>337</v>
      </c>
      <c r="J156" s="23">
        <v>7.4366666666666674</v>
      </c>
      <c r="K156" s="38">
        <v>6.5064070986477068E-2</v>
      </c>
      <c r="L156" s="23">
        <v>13.9</v>
      </c>
      <c r="M156" s="38">
        <v>0.17320508075688712</v>
      </c>
      <c r="N156" s="23">
        <v>547.23333333333335</v>
      </c>
      <c r="O156" s="38">
        <v>18.25659698118281</v>
      </c>
      <c r="P156" s="23">
        <v>0.05</v>
      </c>
      <c r="Q156" s="38"/>
      <c r="R156" s="23">
        <v>1.1876020486483818</v>
      </c>
      <c r="S156" s="23">
        <v>7</v>
      </c>
      <c r="T156" s="23">
        <v>14</v>
      </c>
      <c r="U156" s="29">
        <v>44294</v>
      </c>
      <c r="V156" s="30" t="s">
        <v>402</v>
      </c>
      <c r="W156" s="14">
        <f t="shared" si="14"/>
        <v>13</v>
      </c>
    </row>
    <row r="157" spans="1:23" x14ac:dyDescent="0.35">
      <c r="A157" t="str">
        <f t="shared" si="10"/>
        <v>ESTUDIO SEGUIMIENTO DESEMPEÑO AMBIENTAL ACUICULTURA EN CHILE Y SU EFECTO EN LOS ECOSISTEMAS DE EMPLAZAMIENTO 2020-2021</v>
      </c>
      <c r="B157" t="str">
        <f t="shared" si="11"/>
        <v>Objetivo 1. Actividad 2. Muestreos y Analisis sedimentos</v>
      </c>
      <c r="C157" t="str">
        <f t="shared" si="12"/>
        <v>Gastón Vidal</v>
      </c>
      <c r="D157" t="str">
        <f t="shared" si="13"/>
        <v>INSTITUTO DE FOMENTO PESQUERO</v>
      </c>
      <c r="E157" s="15" t="s">
        <v>40</v>
      </c>
      <c r="F157" s="16" t="s">
        <v>338</v>
      </c>
      <c r="G157" s="17">
        <v>2</v>
      </c>
      <c r="H157" s="19" t="s">
        <v>339</v>
      </c>
      <c r="I157" s="19" t="s">
        <v>340</v>
      </c>
      <c r="J157" s="23">
        <v>7.3866666666666667</v>
      </c>
      <c r="K157" s="38">
        <v>0.12858201014657283</v>
      </c>
      <c r="L157" s="23">
        <v>15.566666666666668</v>
      </c>
      <c r="M157" s="38">
        <v>5.7735026918962373E-2</v>
      </c>
      <c r="N157" s="23">
        <v>431.36666666666662</v>
      </c>
      <c r="O157" s="38">
        <v>78.821401493080245</v>
      </c>
      <c r="P157" s="23" t="s">
        <v>402</v>
      </c>
      <c r="Q157" s="38" t="s">
        <v>402</v>
      </c>
      <c r="R157" s="23">
        <v>1.3683641588778845</v>
      </c>
      <c r="S157" s="23" t="s">
        <v>402</v>
      </c>
      <c r="T157" s="23" t="s">
        <v>402</v>
      </c>
      <c r="U157" s="29">
        <v>44299</v>
      </c>
      <c r="V157" s="23" t="s">
        <v>402</v>
      </c>
      <c r="W157" s="14">
        <f t="shared" si="14"/>
        <v>2</v>
      </c>
    </row>
    <row r="158" spans="1:23" x14ac:dyDescent="0.35">
      <c r="A158" t="str">
        <f t="shared" si="10"/>
        <v>ESTUDIO SEGUIMIENTO DESEMPEÑO AMBIENTAL ACUICULTURA EN CHILE Y SU EFECTO EN LOS ECOSISTEMAS DE EMPLAZAMIENTO 2020-2021</v>
      </c>
      <c r="B158" t="str">
        <f t="shared" si="11"/>
        <v>Objetivo 1. Actividad 2. Muestreos y Analisis sedimentos</v>
      </c>
      <c r="C158" t="str">
        <f t="shared" si="12"/>
        <v>Gastón Vidal</v>
      </c>
      <c r="D158" t="str">
        <f t="shared" si="13"/>
        <v>INSTITUTO DE FOMENTO PESQUERO</v>
      </c>
      <c r="E158" s="15" t="s">
        <v>40</v>
      </c>
      <c r="F158" s="16" t="s">
        <v>338</v>
      </c>
      <c r="G158" s="17">
        <v>3</v>
      </c>
      <c r="H158" s="19" t="s">
        <v>341</v>
      </c>
      <c r="I158" s="19" t="s">
        <v>342</v>
      </c>
      <c r="J158" s="23">
        <v>7.6400000000000006</v>
      </c>
      <c r="K158" s="38">
        <v>0.13114877048603993</v>
      </c>
      <c r="L158" s="23">
        <v>15.233333333333334</v>
      </c>
      <c r="M158" s="38">
        <v>5.77350269189634E-2</v>
      </c>
      <c r="N158" s="23">
        <v>465.33333333333331</v>
      </c>
      <c r="O158" s="38">
        <v>69.383739689737638</v>
      </c>
      <c r="P158" s="23">
        <v>0.05</v>
      </c>
      <c r="Q158" s="38"/>
      <c r="R158" s="23">
        <v>1.0159568361841123</v>
      </c>
      <c r="S158" s="23" t="s">
        <v>402</v>
      </c>
      <c r="T158" s="23" t="s">
        <v>402</v>
      </c>
      <c r="U158" s="29">
        <v>44299</v>
      </c>
      <c r="V158" s="23" t="s">
        <v>402</v>
      </c>
      <c r="W158" s="14">
        <f t="shared" si="14"/>
        <v>3</v>
      </c>
    </row>
    <row r="159" spans="1:23" x14ac:dyDescent="0.35">
      <c r="A159" t="str">
        <f t="shared" si="10"/>
        <v>ESTUDIO SEGUIMIENTO DESEMPEÑO AMBIENTAL ACUICULTURA EN CHILE Y SU EFECTO EN LOS ECOSISTEMAS DE EMPLAZAMIENTO 2020-2021</v>
      </c>
      <c r="B159" t="str">
        <f t="shared" si="11"/>
        <v>Objetivo 1. Actividad 2. Muestreos y Analisis sedimentos</v>
      </c>
      <c r="C159" t="str">
        <f t="shared" si="12"/>
        <v>Gastón Vidal</v>
      </c>
      <c r="D159" t="str">
        <f t="shared" si="13"/>
        <v>INSTITUTO DE FOMENTO PESQUERO</v>
      </c>
      <c r="E159" s="15" t="s">
        <v>40</v>
      </c>
      <c r="F159" s="16" t="s">
        <v>338</v>
      </c>
      <c r="G159" s="17">
        <v>6</v>
      </c>
      <c r="H159" s="19" t="s">
        <v>343</v>
      </c>
      <c r="I159" s="19" t="s">
        <v>344</v>
      </c>
      <c r="J159" s="23">
        <v>7.5500000000000007</v>
      </c>
      <c r="K159" s="38">
        <v>6.0000000000000053E-2</v>
      </c>
      <c r="L159" s="23">
        <v>14.966666666666667</v>
      </c>
      <c r="M159" s="38">
        <v>0.11547005383792475</v>
      </c>
      <c r="N159" s="23">
        <v>482.26666666666665</v>
      </c>
      <c r="O159" s="38">
        <v>70.068276226359473</v>
      </c>
      <c r="P159" s="23">
        <v>0.05</v>
      </c>
      <c r="Q159" s="38"/>
      <c r="R159" s="23">
        <v>1.0818239960809319</v>
      </c>
      <c r="S159" s="23" t="s">
        <v>402</v>
      </c>
      <c r="T159" s="23" t="s">
        <v>402</v>
      </c>
      <c r="U159" s="29">
        <v>44299</v>
      </c>
      <c r="V159" s="23" t="s">
        <v>402</v>
      </c>
      <c r="W159" s="14">
        <f t="shared" si="14"/>
        <v>6</v>
      </c>
    </row>
    <row r="160" spans="1:23" x14ac:dyDescent="0.35">
      <c r="A160" t="str">
        <f t="shared" si="10"/>
        <v>ESTUDIO SEGUIMIENTO DESEMPEÑO AMBIENTAL ACUICULTURA EN CHILE Y SU EFECTO EN LOS ECOSISTEMAS DE EMPLAZAMIENTO 2020-2021</v>
      </c>
      <c r="B160" t="str">
        <f t="shared" si="11"/>
        <v>Objetivo 1. Actividad 2. Muestreos y Analisis sedimentos</v>
      </c>
      <c r="C160" t="str">
        <f t="shared" si="12"/>
        <v>Gastón Vidal</v>
      </c>
      <c r="D160" t="str">
        <f t="shared" si="13"/>
        <v>INSTITUTO DE FOMENTO PESQUERO</v>
      </c>
      <c r="E160" s="15" t="s">
        <v>40</v>
      </c>
      <c r="F160" s="16" t="s">
        <v>338</v>
      </c>
      <c r="G160" s="17">
        <v>7</v>
      </c>
      <c r="H160" s="19" t="s">
        <v>345</v>
      </c>
      <c r="I160" s="19" t="s">
        <v>346</v>
      </c>
      <c r="J160" s="23">
        <v>7.663333333333334</v>
      </c>
      <c r="K160" s="38">
        <v>3.0550504633039155E-2</v>
      </c>
      <c r="L160" s="23">
        <v>15.133333333333333</v>
      </c>
      <c r="M160" s="38">
        <v>5.7735026918962373E-2</v>
      </c>
      <c r="N160" s="23">
        <v>286.59999999999997</v>
      </c>
      <c r="O160" s="38">
        <v>14.846211637990336</v>
      </c>
      <c r="P160" s="23">
        <v>0.05</v>
      </c>
      <c r="Q160" s="38"/>
      <c r="R160" s="23">
        <v>0.78455704929337999</v>
      </c>
      <c r="S160" s="23" t="s">
        <v>402</v>
      </c>
      <c r="T160" s="23" t="s">
        <v>402</v>
      </c>
      <c r="U160" s="29">
        <v>44299</v>
      </c>
      <c r="V160" s="23" t="s">
        <v>402</v>
      </c>
      <c r="W160" s="14">
        <f t="shared" si="14"/>
        <v>7</v>
      </c>
    </row>
    <row r="161" spans="1:23" x14ac:dyDescent="0.35">
      <c r="A161" t="str">
        <f t="shared" si="10"/>
        <v>ESTUDIO SEGUIMIENTO DESEMPEÑO AMBIENTAL ACUICULTURA EN CHILE Y SU EFECTO EN LOS ECOSISTEMAS DE EMPLAZAMIENTO 2020-2021</v>
      </c>
      <c r="B161" t="str">
        <f t="shared" si="11"/>
        <v>Objetivo 1. Actividad 2. Muestreos y Analisis sedimentos</v>
      </c>
      <c r="C161" t="str">
        <f t="shared" si="12"/>
        <v>Gastón Vidal</v>
      </c>
      <c r="D161" t="str">
        <f t="shared" si="13"/>
        <v>INSTITUTO DE FOMENTO PESQUERO</v>
      </c>
      <c r="E161" s="15" t="s">
        <v>40</v>
      </c>
      <c r="F161" s="16" t="s">
        <v>338</v>
      </c>
      <c r="G161" s="17">
        <v>10</v>
      </c>
      <c r="H161" s="19" t="s">
        <v>347</v>
      </c>
      <c r="I161" s="19" t="s">
        <v>348</v>
      </c>
      <c r="J161" s="23">
        <v>7.61</v>
      </c>
      <c r="K161" s="38">
        <v>0.11357816691600539</v>
      </c>
      <c r="L161" s="23">
        <v>14.566666666666668</v>
      </c>
      <c r="M161" s="38">
        <v>5.7735026918962373E-2</v>
      </c>
      <c r="N161" s="23">
        <v>459.60000000000008</v>
      </c>
      <c r="O161" s="38">
        <v>9.3696317963941596</v>
      </c>
      <c r="P161" s="23">
        <v>0.05</v>
      </c>
      <c r="Q161" s="38"/>
      <c r="R161" s="23">
        <v>1.5199421514554636</v>
      </c>
      <c r="S161" s="23" t="s">
        <v>402</v>
      </c>
      <c r="T161" s="23" t="s">
        <v>402</v>
      </c>
      <c r="U161" s="29">
        <v>44299</v>
      </c>
      <c r="V161" s="23" t="s">
        <v>402</v>
      </c>
      <c r="W161" s="14">
        <f t="shared" si="14"/>
        <v>10</v>
      </c>
    </row>
    <row r="162" spans="1:23" x14ac:dyDescent="0.35">
      <c r="A162" t="str">
        <f t="shared" si="10"/>
        <v>ESTUDIO SEGUIMIENTO DESEMPEÑO AMBIENTAL ACUICULTURA EN CHILE Y SU EFECTO EN LOS ECOSISTEMAS DE EMPLAZAMIENTO 2020-2021</v>
      </c>
      <c r="B162" t="str">
        <f t="shared" si="11"/>
        <v>Objetivo 1. Actividad 2. Muestreos y Analisis sedimentos</v>
      </c>
      <c r="C162" t="str">
        <f t="shared" si="12"/>
        <v>Gastón Vidal</v>
      </c>
      <c r="D162" t="str">
        <f t="shared" si="13"/>
        <v>INSTITUTO DE FOMENTO PESQUERO</v>
      </c>
      <c r="E162" s="15" t="s">
        <v>40</v>
      </c>
      <c r="F162" s="16" t="s">
        <v>338</v>
      </c>
      <c r="G162" s="17">
        <v>14</v>
      </c>
      <c r="H162" s="19" t="s">
        <v>349</v>
      </c>
      <c r="I162" s="19" t="s">
        <v>350</v>
      </c>
      <c r="J162" s="23">
        <v>7.5033333333333339</v>
      </c>
      <c r="K162" s="38">
        <v>5.5075705472860864E-2</v>
      </c>
      <c r="L162" s="23">
        <v>14.800000000000002</v>
      </c>
      <c r="M162" s="38">
        <v>2.1755839288168292E-15</v>
      </c>
      <c r="N162" s="23">
        <v>529.9</v>
      </c>
      <c r="O162" s="38">
        <v>15.150247522730407</v>
      </c>
      <c r="P162" s="23">
        <v>0.05</v>
      </c>
      <c r="Q162" s="38"/>
      <c r="R162" s="23">
        <v>0.86259933350426832</v>
      </c>
      <c r="S162" s="23" t="s">
        <v>402</v>
      </c>
      <c r="T162" s="23" t="s">
        <v>402</v>
      </c>
      <c r="U162" s="29">
        <v>44299</v>
      </c>
      <c r="V162" s="23" t="s">
        <v>402</v>
      </c>
      <c r="W162" s="14">
        <f t="shared" si="14"/>
        <v>14</v>
      </c>
    </row>
    <row r="163" spans="1:23" x14ac:dyDescent="0.35">
      <c r="A163" t="str">
        <f t="shared" si="10"/>
        <v>ESTUDIO SEGUIMIENTO DESEMPEÑO AMBIENTAL ACUICULTURA EN CHILE Y SU EFECTO EN LOS ECOSISTEMAS DE EMPLAZAMIENTO 2020-2021</v>
      </c>
      <c r="B163" t="str">
        <f t="shared" si="11"/>
        <v>Objetivo 1. Actividad 2. Muestreos y Analisis sedimentos</v>
      </c>
      <c r="C163" t="str">
        <f t="shared" si="12"/>
        <v>Gastón Vidal</v>
      </c>
      <c r="D163" t="str">
        <f t="shared" si="13"/>
        <v>INSTITUTO DE FOMENTO PESQUERO</v>
      </c>
      <c r="E163" s="15" t="s">
        <v>40</v>
      </c>
      <c r="F163" s="16" t="s">
        <v>351</v>
      </c>
      <c r="G163" s="17">
        <v>2</v>
      </c>
      <c r="H163" s="19" t="s">
        <v>352</v>
      </c>
      <c r="I163" s="19" t="s">
        <v>353</v>
      </c>
      <c r="J163" s="23">
        <v>6.996666666666667</v>
      </c>
      <c r="K163" s="38">
        <v>1.154700538379227E-2</v>
      </c>
      <c r="L163" s="23">
        <v>12.1</v>
      </c>
      <c r="M163" s="38">
        <v>0.52915026221291794</v>
      </c>
      <c r="N163" s="23">
        <v>379.3</v>
      </c>
      <c r="O163" s="38">
        <v>110.26055505029886</v>
      </c>
      <c r="P163" s="23">
        <v>31.525541817118285</v>
      </c>
      <c r="Q163" s="38">
        <v>4.7133279525536107</v>
      </c>
      <c r="R163" s="23">
        <v>6.3979578127099126</v>
      </c>
      <c r="S163" s="19">
        <v>3.5</v>
      </c>
      <c r="T163" s="19">
        <v>9.6999999999999993</v>
      </c>
      <c r="U163" s="29">
        <v>44248</v>
      </c>
      <c r="V163" s="30">
        <v>0.52222222222222225</v>
      </c>
      <c r="W163" s="14">
        <f t="shared" si="14"/>
        <v>2</v>
      </c>
    </row>
    <row r="164" spans="1:23" x14ac:dyDescent="0.35">
      <c r="A164" t="str">
        <f t="shared" si="10"/>
        <v>ESTUDIO SEGUIMIENTO DESEMPEÑO AMBIENTAL ACUICULTURA EN CHILE Y SU EFECTO EN LOS ECOSISTEMAS DE EMPLAZAMIENTO 2020-2021</v>
      </c>
      <c r="B164" t="str">
        <f t="shared" si="11"/>
        <v>Objetivo 1. Actividad 2. Muestreos y Analisis sedimentos</v>
      </c>
      <c r="C164" t="str">
        <f t="shared" si="12"/>
        <v>Gastón Vidal</v>
      </c>
      <c r="D164" t="str">
        <f t="shared" si="13"/>
        <v>INSTITUTO DE FOMENTO PESQUERO</v>
      </c>
      <c r="E164" s="15" t="s">
        <v>40</v>
      </c>
      <c r="F164" s="16" t="s">
        <v>351</v>
      </c>
      <c r="G164" s="17">
        <v>3</v>
      </c>
      <c r="H164" s="19" t="s">
        <v>354</v>
      </c>
      <c r="I164" s="19" t="s">
        <v>355</v>
      </c>
      <c r="J164" s="23">
        <v>7.3266666666666671</v>
      </c>
      <c r="K164" s="38">
        <v>8.7368949480540914E-2</v>
      </c>
      <c r="L164" s="23">
        <v>12.299999999999999</v>
      </c>
      <c r="M164" s="38">
        <v>0.26457513110645914</v>
      </c>
      <c r="N164" s="23">
        <v>193.5333333333333</v>
      </c>
      <c r="O164" s="38">
        <v>19.534158116830461</v>
      </c>
      <c r="P164" s="23">
        <v>58.083177059061391</v>
      </c>
      <c r="Q164" s="38">
        <v>16.524443158327891</v>
      </c>
      <c r="R164" s="23">
        <v>7.1035704297566937</v>
      </c>
      <c r="S164" s="19">
        <v>5.5</v>
      </c>
      <c r="T164" s="19">
        <v>9.9</v>
      </c>
      <c r="U164" s="29">
        <v>44248</v>
      </c>
      <c r="V164" s="30">
        <v>0.47361111111111115</v>
      </c>
      <c r="W164" s="14">
        <f t="shared" si="14"/>
        <v>3</v>
      </c>
    </row>
    <row r="165" spans="1:23" x14ac:dyDescent="0.35">
      <c r="A165" t="str">
        <f t="shared" si="10"/>
        <v>ESTUDIO SEGUIMIENTO DESEMPEÑO AMBIENTAL ACUICULTURA EN CHILE Y SU EFECTO EN LOS ECOSISTEMAS DE EMPLAZAMIENTO 2020-2021</v>
      </c>
      <c r="B165" t="str">
        <f t="shared" si="11"/>
        <v>Objetivo 1. Actividad 2. Muestreos y Analisis sedimentos</v>
      </c>
      <c r="C165" t="str">
        <f t="shared" si="12"/>
        <v>Gastón Vidal</v>
      </c>
      <c r="D165" t="str">
        <f t="shared" si="13"/>
        <v>INSTITUTO DE FOMENTO PESQUERO</v>
      </c>
      <c r="E165" s="15" t="s">
        <v>40</v>
      </c>
      <c r="F165" s="16" t="s">
        <v>351</v>
      </c>
      <c r="G165" s="17">
        <v>5</v>
      </c>
      <c r="H165" s="19" t="s">
        <v>356</v>
      </c>
      <c r="I165" s="19" t="s">
        <v>357</v>
      </c>
      <c r="J165" s="23">
        <v>7.2433333333333332</v>
      </c>
      <c r="K165" s="38">
        <v>5.1316014394468618E-2</v>
      </c>
      <c r="L165" s="23">
        <v>11.633333333333335</v>
      </c>
      <c r="M165" s="38">
        <v>0.35118845842842428</v>
      </c>
      <c r="N165" s="23">
        <v>138.66666666666666</v>
      </c>
      <c r="O165" s="38">
        <v>27.074218979193635</v>
      </c>
      <c r="P165" s="23">
        <v>56.752363961450321</v>
      </c>
      <c r="Q165" s="38">
        <v>21.745874336304681</v>
      </c>
      <c r="R165" s="23">
        <v>6.0290897716609582</v>
      </c>
      <c r="S165" s="19">
        <v>9</v>
      </c>
      <c r="T165" s="19">
        <v>11</v>
      </c>
      <c r="U165" s="29">
        <v>44247</v>
      </c>
      <c r="V165" s="30">
        <v>0.38194444444444442</v>
      </c>
      <c r="W165" s="14">
        <f t="shared" si="14"/>
        <v>5</v>
      </c>
    </row>
    <row r="166" spans="1:23" x14ac:dyDescent="0.35">
      <c r="A166" t="str">
        <f t="shared" si="10"/>
        <v>ESTUDIO SEGUIMIENTO DESEMPEÑO AMBIENTAL ACUICULTURA EN CHILE Y SU EFECTO EN LOS ECOSISTEMAS DE EMPLAZAMIENTO 2020-2021</v>
      </c>
      <c r="B166" t="str">
        <f t="shared" si="11"/>
        <v>Objetivo 1. Actividad 2. Muestreos y Analisis sedimentos</v>
      </c>
      <c r="C166" t="str">
        <f t="shared" si="12"/>
        <v>Gastón Vidal</v>
      </c>
      <c r="D166" t="str">
        <f t="shared" si="13"/>
        <v>INSTITUTO DE FOMENTO PESQUERO</v>
      </c>
      <c r="E166" s="15" t="s">
        <v>40</v>
      </c>
      <c r="F166" s="16" t="s">
        <v>351</v>
      </c>
      <c r="G166" s="17">
        <v>9</v>
      </c>
      <c r="H166" s="19" t="s">
        <v>358</v>
      </c>
      <c r="I166" s="19" t="s">
        <v>359</v>
      </c>
      <c r="J166" s="23">
        <v>7.07</v>
      </c>
      <c r="K166" s="38">
        <v>0.13076696830622028</v>
      </c>
      <c r="L166" s="23">
        <v>12.666666666666666</v>
      </c>
      <c r="M166" s="38">
        <v>0.30550504633038922</v>
      </c>
      <c r="N166" s="23">
        <v>165.66666666666666</v>
      </c>
      <c r="O166" s="38">
        <v>71.65209929467062</v>
      </c>
      <c r="P166" s="23">
        <v>106.43555967800084</v>
      </c>
      <c r="Q166" s="38">
        <v>61.01418145645674</v>
      </c>
      <c r="R166" s="23">
        <v>2.4664291586735887</v>
      </c>
      <c r="S166" s="19">
        <v>5</v>
      </c>
      <c r="T166" s="19">
        <v>11.13</v>
      </c>
      <c r="U166" s="29">
        <v>44247</v>
      </c>
      <c r="V166" s="30">
        <v>0.50277777777777777</v>
      </c>
      <c r="W166" s="14">
        <f t="shared" si="14"/>
        <v>9</v>
      </c>
    </row>
    <row r="167" spans="1:23" x14ac:dyDescent="0.35">
      <c r="A167" t="str">
        <f t="shared" si="10"/>
        <v>ESTUDIO SEGUIMIENTO DESEMPEÑO AMBIENTAL ACUICULTURA EN CHILE Y SU EFECTO EN LOS ECOSISTEMAS DE EMPLAZAMIENTO 2020-2021</v>
      </c>
      <c r="B167" t="str">
        <f t="shared" si="11"/>
        <v>Objetivo 1. Actividad 2. Muestreos y Analisis sedimentos</v>
      </c>
      <c r="C167" t="str">
        <f t="shared" si="12"/>
        <v>Gastón Vidal</v>
      </c>
      <c r="D167" t="str">
        <f t="shared" si="13"/>
        <v>INSTITUTO DE FOMENTO PESQUERO</v>
      </c>
      <c r="E167" s="15" t="s">
        <v>40</v>
      </c>
      <c r="F167" s="16" t="s">
        <v>351</v>
      </c>
      <c r="G167" s="17">
        <v>10</v>
      </c>
      <c r="H167" s="19" t="s">
        <v>360</v>
      </c>
      <c r="I167" s="19" t="s">
        <v>361</v>
      </c>
      <c r="J167" s="23">
        <v>7.1866666666666674</v>
      </c>
      <c r="K167" s="38">
        <v>5.507570547286119E-2</v>
      </c>
      <c r="L167" s="23">
        <v>13</v>
      </c>
      <c r="M167" s="38">
        <v>0.30000000000000071</v>
      </c>
      <c r="N167" s="23">
        <v>272.33333333333331</v>
      </c>
      <c r="O167" s="38">
        <v>56.311396123105609</v>
      </c>
      <c r="P167" s="23">
        <v>21.233323014557911</v>
      </c>
      <c r="Q167" s="38">
        <v>11.215799805988437</v>
      </c>
      <c r="R167" s="23">
        <v>2.6300275121184131</v>
      </c>
      <c r="S167" s="19">
        <v>4.5</v>
      </c>
      <c r="T167" s="19">
        <v>11.8</v>
      </c>
      <c r="U167" s="29">
        <v>44247</v>
      </c>
      <c r="V167" s="30">
        <v>0.80902777777777779</v>
      </c>
      <c r="W167" s="14">
        <f t="shared" si="14"/>
        <v>10</v>
      </c>
    </row>
    <row r="168" spans="1:23" x14ac:dyDescent="0.35">
      <c r="A168" t="str">
        <f t="shared" si="10"/>
        <v>ESTUDIO SEGUIMIENTO DESEMPEÑO AMBIENTAL ACUICULTURA EN CHILE Y SU EFECTO EN LOS ECOSISTEMAS DE EMPLAZAMIENTO 2020-2021</v>
      </c>
      <c r="B168" t="str">
        <f t="shared" si="11"/>
        <v>Objetivo 1. Actividad 2. Muestreos y Analisis sedimentos</v>
      </c>
      <c r="C168" t="str">
        <f t="shared" si="12"/>
        <v>Gastón Vidal</v>
      </c>
      <c r="D168" t="str">
        <f t="shared" si="13"/>
        <v>INSTITUTO DE FOMENTO PESQUERO</v>
      </c>
      <c r="E168" s="15" t="s">
        <v>40</v>
      </c>
      <c r="F168" s="16" t="s">
        <v>351</v>
      </c>
      <c r="G168" s="17">
        <v>11</v>
      </c>
      <c r="H168" s="19" t="s">
        <v>362</v>
      </c>
      <c r="I168" s="19" t="s">
        <v>363</v>
      </c>
      <c r="J168" s="23">
        <v>7.2366666666666672</v>
      </c>
      <c r="K168" s="38">
        <v>0.18502252115170573</v>
      </c>
      <c r="L168" s="23">
        <v>11.299999999999999</v>
      </c>
      <c r="M168" s="38">
        <v>0.26457513110645914</v>
      </c>
      <c r="N168" s="23">
        <v>128.23333333333335</v>
      </c>
      <c r="O168" s="38">
        <v>64.792617892267089</v>
      </c>
      <c r="P168" s="23">
        <v>22.776476078149315</v>
      </c>
      <c r="Q168" s="38">
        <v>6.5898634683914041</v>
      </c>
      <c r="R168" s="23">
        <v>2.5512267457535542</v>
      </c>
      <c r="S168" s="19">
        <v>4.5</v>
      </c>
      <c r="T168" s="19">
        <v>11.21</v>
      </c>
      <c r="U168" s="29">
        <v>44247</v>
      </c>
      <c r="V168" s="30">
        <v>0.71180555555555547</v>
      </c>
      <c r="W168" s="14">
        <f t="shared" si="14"/>
        <v>11</v>
      </c>
    </row>
    <row r="169" spans="1:23" x14ac:dyDescent="0.35">
      <c r="A169" t="str">
        <f t="shared" si="10"/>
        <v>ESTUDIO SEGUIMIENTO DESEMPEÑO AMBIENTAL ACUICULTURA EN CHILE Y SU EFECTO EN LOS ECOSISTEMAS DE EMPLAZAMIENTO 2020-2021</v>
      </c>
      <c r="B169" t="str">
        <f t="shared" si="11"/>
        <v>Objetivo 1. Actividad 2. Muestreos y Analisis sedimentos</v>
      </c>
      <c r="C169" t="str">
        <f t="shared" si="12"/>
        <v>Gastón Vidal</v>
      </c>
      <c r="D169" t="str">
        <f t="shared" si="13"/>
        <v>INSTITUTO DE FOMENTO PESQUERO</v>
      </c>
      <c r="E169" s="15" t="s">
        <v>40</v>
      </c>
      <c r="F169" s="16" t="s">
        <v>351</v>
      </c>
      <c r="G169" s="17">
        <v>13</v>
      </c>
      <c r="H169" s="19" t="s">
        <v>364</v>
      </c>
      <c r="I169" s="19" t="s">
        <v>365</v>
      </c>
      <c r="J169" s="23">
        <v>7.2033333333333331</v>
      </c>
      <c r="K169" s="38">
        <v>4.6188021535170105E-2</v>
      </c>
      <c r="L169" s="23">
        <v>11.666666666666666</v>
      </c>
      <c r="M169" s="38">
        <v>0.3785938897200179</v>
      </c>
      <c r="N169" s="23">
        <v>202.23333333333332</v>
      </c>
      <c r="O169" s="38">
        <v>80.596050358149284</v>
      </c>
      <c r="P169" s="23">
        <v>26.346371079633212</v>
      </c>
      <c r="Q169" s="38">
        <v>5.6348787539624476</v>
      </c>
      <c r="R169" s="23">
        <v>3.0817277504213418</v>
      </c>
      <c r="S169" s="19">
        <v>7.2</v>
      </c>
      <c r="T169" s="19">
        <v>11.6</v>
      </c>
      <c r="U169" s="29">
        <v>44247</v>
      </c>
      <c r="V169" s="30">
        <v>0.68888888888888899</v>
      </c>
      <c r="W169" s="14">
        <f t="shared" si="14"/>
        <v>13</v>
      </c>
    </row>
    <row r="170" spans="1:23" x14ac:dyDescent="0.35">
      <c r="A170" t="str">
        <f t="shared" si="10"/>
        <v>ESTUDIO SEGUIMIENTO DESEMPEÑO AMBIENTAL ACUICULTURA EN CHILE Y SU EFECTO EN LOS ECOSISTEMAS DE EMPLAZAMIENTO 2020-2021</v>
      </c>
      <c r="B170" t="str">
        <f t="shared" si="11"/>
        <v>Objetivo 1. Actividad 2. Muestreos y Analisis sedimentos</v>
      </c>
      <c r="C170" t="str">
        <f t="shared" si="12"/>
        <v>Gastón Vidal</v>
      </c>
      <c r="D170" t="str">
        <f t="shared" si="13"/>
        <v>INSTITUTO DE FOMENTO PESQUERO</v>
      </c>
      <c r="E170" s="15" t="s">
        <v>40</v>
      </c>
      <c r="F170" s="16" t="s">
        <v>351</v>
      </c>
      <c r="G170" s="17">
        <v>14</v>
      </c>
      <c r="H170" s="19" t="s">
        <v>366</v>
      </c>
      <c r="I170" s="19" t="s">
        <v>367</v>
      </c>
      <c r="J170" s="23">
        <v>7.2666666666666666</v>
      </c>
      <c r="K170" s="38">
        <v>1.5275252316519529E-2</v>
      </c>
      <c r="L170" s="23">
        <v>11.366666666666667</v>
      </c>
      <c r="M170" s="38">
        <v>0.47258156262526119</v>
      </c>
      <c r="N170" s="23">
        <v>52.566666666666663</v>
      </c>
      <c r="O170" s="38">
        <v>12.236148631547975</v>
      </c>
      <c r="P170" s="23">
        <v>36.76459266634069</v>
      </c>
      <c r="Q170" s="38">
        <v>18.172836857340702</v>
      </c>
      <c r="R170" s="23">
        <v>9.8105408198416182</v>
      </c>
      <c r="S170" s="19" t="s">
        <v>408</v>
      </c>
      <c r="T170" s="19">
        <v>11.5</v>
      </c>
      <c r="U170" s="29">
        <v>44247</v>
      </c>
      <c r="V170" s="30">
        <v>0.93958333333333333</v>
      </c>
      <c r="W170" s="14">
        <f t="shared" si="14"/>
        <v>14</v>
      </c>
    </row>
    <row r="171" spans="1:23" x14ac:dyDescent="0.35">
      <c r="A171" t="str">
        <f t="shared" si="10"/>
        <v>ESTUDIO SEGUIMIENTO DESEMPEÑO AMBIENTAL ACUICULTURA EN CHILE Y SU EFECTO EN LOS ECOSISTEMAS DE EMPLAZAMIENTO 2020-2021</v>
      </c>
      <c r="B171" t="str">
        <f t="shared" si="11"/>
        <v>Objetivo 1. Actividad 2. Muestreos y Analisis sedimentos</v>
      </c>
      <c r="C171" t="str">
        <f t="shared" si="12"/>
        <v>Gastón Vidal</v>
      </c>
      <c r="D171" t="str">
        <f t="shared" si="13"/>
        <v>INSTITUTO DE FOMENTO PESQUERO</v>
      </c>
      <c r="E171" s="15" t="s">
        <v>40</v>
      </c>
      <c r="F171" s="16" t="s">
        <v>368</v>
      </c>
      <c r="G171" s="17">
        <v>4</v>
      </c>
      <c r="H171" s="19" t="s">
        <v>369</v>
      </c>
      <c r="I171" s="19" t="s">
        <v>370</v>
      </c>
      <c r="J171" s="23">
        <v>7.5</v>
      </c>
      <c r="K171" s="38">
        <v>0.38314488121336038</v>
      </c>
      <c r="L171" s="23">
        <v>15.766666666666666</v>
      </c>
      <c r="M171" s="38">
        <v>5.77350269189634E-2</v>
      </c>
      <c r="N171" s="23">
        <v>195.96666666666667</v>
      </c>
      <c r="O171" s="38">
        <v>7.8008546540320429</v>
      </c>
      <c r="P171" s="23">
        <v>0.05</v>
      </c>
      <c r="Q171" s="38"/>
      <c r="R171" s="23">
        <v>0.80384110901193306</v>
      </c>
      <c r="S171" s="34">
        <v>6.3</v>
      </c>
      <c r="T171" s="23">
        <v>16.03</v>
      </c>
      <c r="U171" s="29">
        <v>44237</v>
      </c>
      <c r="V171" s="30">
        <v>0.39583333333333331</v>
      </c>
      <c r="W171" s="14">
        <f t="shared" si="14"/>
        <v>4</v>
      </c>
    </row>
    <row r="172" spans="1:23" x14ac:dyDescent="0.35">
      <c r="A172" t="str">
        <f t="shared" si="10"/>
        <v>ESTUDIO SEGUIMIENTO DESEMPEÑO AMBIENTAL ACUICULTURA EN CHILE Y SU EFECTO EN LOS ECOSISTEMAS DE EMPLAZAMIENTO 2020-2021</v>
      </c>
      <c r="B172" t="str">
        <f t="shared" si="11"/>
        <v>Objetivo 1. Actividad 2. Muestreos y Analisis sedimentos</v>
      </c>
      <c r="C172" t="str">
        <f t="shared" si="12"/>
        <v>Gastón Vidal</v>
      </c>
      <c r="D172" t="str">
        <f t="shared" si="13"/>
        <v>INSTITUTO DE FOMENTO PESQUERO</v>
      </c>
      <c r="E172" s="15" t="s">
        <v>40</v>
      </c>
      <c r="F172" s="16" t="s">
        <v>368</v>
      </c>
      <c r="G172" s="17">
        <v>5</v>
      </c>
      <c r="H172" s="19" t="s">
        <v>371</v>
      </c>
      <c r="I172" s="19" t="s">
        <v>372</v>
      </c>
      <c r="J172" s="23">
        <v>7.5333333333333341</v>
      </c>
      <c r="K172" s="38">
        <v>0.17502380790433417</v>
      </c>
      <c r="L172" s="23">
        <v>14.299999999999999</v>
      </c>
      <c r="M172" s="38">
        <v>0.17320508075688812</v>
      </c>
      <c r="N172" s="23">
        <v>201</v>
      </c>
      <c r="O172" s="38">
        <v>2.6153393661244055</v>
      </c>
      <c r="P172" s="23">
        <v>15.764048054387679</v>
      </c>
      <c r="Q172" s="38">
        <v>10.52629062184899</v>
      </c>
      <c r="R172" s="23">
        <v>2.5350174646296981</v>
      </c>
      <c r="S172" s="34">
        <v>6.8</v>
      </c>
      <c r="T172" s="23">
        <v>16</v>
      </c>
      <c r="U172" s="29">
        <v>44237</v>
      </c>
      <c r="V172" s="30">
        <v>0.46180555555555558</v>
      </c>
      <c r="W172" s="14">
        <f t="shared" si="14"/>
        <v>5</v>
      </c>
    </row>
    <row r="173" spans="1:23" x14ac:dyDescent="0.35">
      <c r="A173" t="str">
        <f t="shared" si="10"/>
        <v>ESTUDIO SEGUIMIENTO DESEMPEÑO AMBIENTAL ACUICULTURA EN CHILE Y SU EFECTO EN LOS ECOSISTEMAS DE EMPLAZAMIENTO 2020-2021</v>
      </c>
      <c r="B173" t="str">
        <f t="shared" si="11"/>
        <v>Objetivo 1. Actividad 2. Muestreos y Analisis sedimentos</v>
      </c>
      <c r="C173" t="str">
        <f t="shared" si="12"/>
        <v>Gastón Vidal</v>
      </c>
      <c r="D173" t="str">
        <f t="shared" si="13"/>
        <v>INSTITUTO DE FOMENTO PESQUERO</v>
      </c>
      <c r="E173" s="15" t="s">
        <v>40</v>
      </c>
      <c r="F173" s="16" t="s">
        <v>368</v>
      </c>
      <c r="G173" s="17">
        <v>8</v>
      </c>
      <c r="H173" s="19" t="s">
        <v>373</v>
      </c>
      <c r="I173" s="19" t="s">
        <v>374</v>
      </c>
      <c r="J173" s="23">
        <v>7.44</v>
      </c>
      <c r="K173" s="38">
        <v>1.0000000000000231E-2</v>
      </c>
      <c r="L173" s="23">
        <v>13.933333333333332</v>
      </c>
      <c r="M173" s="38">
        <v>0.76376261582597327</v>
      </c>
      <c r="N173" s="23">
        <v>228.4</v>
      </c>
      <c r="O173" s="38">
        <v>0.17320508075689431</v>
      </c>
      <c r="P173" s="23">
        <v>696.50353767409433</v>
      </c>
      <c r="Q173" s="38">
        <v>242.80868635084016</v>
      </c>
      <c r="R173" s="23">
        <v>7.8807848577941053</v>
      </c>
      <c r="S173" s="34">
        <v>5.8</v>
      </c>
      <c r="T173" s="23">
        <v>16.399999999999999</v>
      </c>
      <c r="U173" s="29">
        <v>44237</v>
      </c>
      <c r="V173" s="30">
        <v>0.49791666666666662</v>
      </c>
      <c r="W173" s="14">
        <f t="shared" si="14"/>
        <v>8</v>
      </c>
    </row>
    <row r="174" spans="1:23" x14ac:dyDescent="0.35">
      <c r="A174" t="str">
        <f t="shared" si="10"/>
        <v>ESTUDIO SEGUIMIENTO DESEMPEÑO AMBIENTAL ACUICULTURA EN CHILE Y SU EFECTO EN LOS ECOSISTEMAS DE EMPLAZAMIENTO 2020-2021</v>
      </c>
      <c r="B174" t="str">
        <f t="shared" si="11"/>
        <v>Objetivo 1. Actividad 2. Muestreos y Analisis sedimentos</v>
      </c>
      <c r="C174" t="str">
        <f t="shared" si="12"/>
        <v>Gastón Vidal</v>
      </c>
      <c r="D174" t="str">
        <f t="shared" si="13"/>
        <v>INSTITUTO DE FOMENTO PESQUERO</v>
      </c>
      <c r="E174" s="15" t="s">
        <v>40</v>
      </c>
      <c r="F174" s="16" t="s">
        <v>368</v>
      </c>
      <c r="G174" s="17">
        <v>9</v>
      </c>
      <c r="H174" s="19" t="s">
        <v>375</v>
      </c>
      <c r="I174" s="19" t="s">
        <v>376</v>
      </c>
      <c r="J174" s="23">
        <v>6.79</v>
      </c>
      <c r="K174" s="38">
        <v>2.6457513110646182E-2</v>
      </c>
      <c r="L174" s="23">
        <v>14.033333333333333</v>
      </c>
      <c r="M174" s="38">
        <v>0.41633319989322681</v>
      </c>
      <c r="N174" s="23">
        <v>-49.633333333333326</v>
      </c>
      <c r="O174" s="38">
        <v>20.807770984258084</v>
      </c>
      <c r="P174" s="23">
        <v>1064.0464823504026</v>
      </c>
      <c r="Q174" s="38">
        <v>306.94307650496927</v>
      </c>
      <c r="R174" s="23">
        <v>8.0785720290302621</v>
      </c>
      <c r="S174" s="34">
        <v>7.5</v>
      </c>
      <c r="T174" s="23">
        <v>16.7</v>
      </c>
      <c r="U174" s="29">
        <v>44237</v>
      </c>
      <c r="V174" s="30">
        <v>0.56319444444444444</v>
      </c>
      <c r="W174" s="14">
        <f t="shared" si="14"/>
        <v>9</v>
      </c>
    </row>
    <row r="175" spans="1:23" x14ac:dyDescent="0.35">
      <c r="A175" t="str">
        <f t="shared" si="10"/>
        <v>ESTUDIO SEGUIMIENTO DESEMPEÑO AMBIENTAL ACUICULTURA EN CHILE Y SU EFECTO EN LOS ECOSISTEMAS DE EMPLAZAMIENTO 2020-2021</v>
      </c>
      <c r="B175" t="str">
        <f t="shared" si="11"/>
        <v>Objetivo 1. Actividad 2. Muestreos y Analisis sedimentos</v>
      </c>
      <c r="C175" t="str">
        <f t="shared" si="12"/>
        <v>Gastón Vidal</v>
      </c>
      <c r="D175" t="str">
        <f t="shared" si="13"/>
        <v>INSTITUTO DE FOMENTO PESQUERO</v>
      </c>
      <c r="E175" s="15" t="s">
        <v>40</v>
      </c>
      <c r="F175" s="16" t="s">
        <v>368</v>
      </c>
      <c r="G175" s="17">
        <v>11</v>
      </c>
      <c r="H175" s="19" t="s">
        <v>377</v>
      </c>
      <c r="I175" s="19" t="s">
        <v>378</v>
      </c>
      <c r="J175" s="23">
        <v>7.13</v>
      </c>
      <c r="K175" s="38">
        <v>0.10583005244258371</v>
      </c>
      <c r="L175" s="23">
        <v>14.966666666666667</v>
      </c>
      <c r="M175" s="38">
        <v>0.50332229568471665</v>
      </c>
      <c r="N175" s="23">
        <v>169.1</v>
      </c>
      <c r="O175" s="38">
        <v>5.9657354953098647</v>
      </c>
      <c r="P175" s="23">
        <v>0.05</v>
      </c>
      <c r="Q175" s="38"/>
      <c r="R175" s="23">
        <v>1.8057432667790605</v>
      </c>
      <c r="S175" s="34">
        <v>4.5</v>
      </c>
      <c r="T175" s="23">
        <v>16.899999999999999</v>
      </c>
      <c r="U175" s="29">
        <v>44237</v>
      </c>
      <c r="V175" s="30">
        <v>0.6020833333333333</v>
      </c>
      <c r="W175" s="14">
        <f t="shared" si="14"/>
        <v>11</v>
      </c>
    </row>
    <row r="176" spans="1:23" x14ac:dyDescent="0.35">
      <c r="A176" t="str">
        <f t="shared" si="10"/>
        <v>ESTUDIO SEGUIMIENTO DESEMPEÑO AMBIENTAL ACUICULTURA EN CHILE Y SU EFECTO EN LOS ECOSISTEMAS DE EMPLAZAMIENTO 2020-2021</v>
      </c>
      <c r="B176" t="str">
        <f t="shared" si="11"/>
        <v>Objetivo 1. Actividad 2. Muestreos y Analisis sedimentos</v>
      </c>
      <c r="C176" t="str">
        <f t="shared" si="12"/>
        <v>Gastón Vidal</v>
      </c>
      <c r="D176" t="str">
        <f t="shared" si="13"/>
        <v>INSTITUTO DE FOMENTO PESQUERO</v>
      </c>
      <c r="E176" s="15" t="s">
        <v>40</v>
      </c>
      <c r="F176" s="16" t="s">
        <v>368</v>
      </c>
      <c r="G176" s="17">
        <v>14</v>
      </c>
      <c r="H176" s="19" t="s">
        <v>379</v>
      </c>
      <c r="I176" s="19" t="s">
        <v>380</v>
      </c>
      <c r="J176" s="23">
        <v>7.2433333333333332</v>
      </c>
      <c r="K176" s="38">
        <v>1.154700538379227E-2</v>
      </c>
      <c r="L176" s="23">
        <v>15.066666666666668</v>
      </c>
      <c r="M176" s="38">
        <v>5.7735026918962373E-2</v>
      </c>
      <c r="N176" s="23">
        <v>187.13333333333333</v>
      </c>
      <c r="O176" s="38">
        <v>67.800762040948598</v>
      </c>
      <c r="P176" s="23">
        <v>0.05</v>
      </c>
      <c r="Q176" s="38"/>
      <c r="R176" s="23">
        <v>2.4745931348162786</v>
      </c>
      <c r="S176" s="34">
        <v>7.6</v>
      </c>
      <c r="T176" s="23">
        <v>17</v>
      </c>
      <c r="U176" s="29">
        <v>44237</v>
      </c>
      <c r="V176" s="30">
        <v>0.63888888888888895</v>
      </c>
      <c r="W176" s="14">
        <f t="shared" si="14"/>
        <v>14</v>
      </c>
    </row>
    <row r="177" spans="1:23" x14ac:dyDescent="0.35">
      <c r="A177" t="str">
        <f t="shared" si="10"/>
        <v>ESTUDIO SEGUIMIENTO DESEMPEÑO AMBIENTAL ACUICULTURA EN CHILE Y SU EFECTO EN LOS ECOSISTEMAS DE EMPLAZAMIENTO 2020-2021</v>
      </c>
      <c r="B177" t="str">
        <f t="shared" si="11"/>
        <v>Objetivo 1. Actividad 2. Muestreos y Analisis sedimentos</v>
      </c>
      <c r="C177" t="str">
        <f t="shared" si="12"/>
        <v>Gastón Vidal</v>
      </c>
      <c r="D177" t="str">
        <f t="shared" si="13"/>
        <v>INSTITUTO DE FOMENTO PESQUERO</v>
      </c>
      <c r="E177" s="15" t="s">
        <v>40</v>
      </c>
      <c r="F177" s="16" t="s">
        <v>368</v>
      </c>
      <c r="G177" s="17">
        <v>15</v>
      </c>
      <c r="H177" s="19" t="s">
        <v>381</v>
      </c>
      <c r="I177" s="19" t="s">
        <v>382</v>
      </c>
      <c r="J177" s="23">
        <v>7.0966666666666667</v>
      </c>
      <c r="K177" s="38">
        <v>5.7735026918961348E-3</v>
      </c>
      <c r="L177" s="23">
        <v>14</v>
      </c>
      <c r="M177" s="38">
        <v>0.62449979983983928</v>
      </c>
      <c r="N177" s="23">
        <v>274.86666666666662</v>
      </c>
      <c r="O177" s="38">
        <v>16.622374479397731</v>
      </c>
      <c r="P177" s="23">
        <v>0.05</v>
      </c>
      <c r="Q177" s="38"/>
      <c r="R177" s="23">
        <v>4.0216992889084402</v>
      </c>
      <c r="S177" s="34">
        <v>4.5</v>
      </c>
      <c r="T177" s="23">
        <v>17.3</v>
      </c>
      <c r="U177" s="29">
        <v>44237</v>
      </c>
      <c r="V177" s="30">
        <v>0.7055555555555556</v>
      </c>
      <c r="W177" s="14">
        <f t="shared" si="14"/>
        <v>15</v>
      </c>
    </row>
    <row r="178" spans="1:23" x14ac:dyDescent="0.35">
      <c r="A178" t="str">
        <f t="shared" si="10"/>
        <v>ESTUDIO SEGUIMIENTO DESEMPEÑO AMBIENTAL ACUICULTURA EN CHILE Y SU EFECTO EN LOS ECOSISTEMAS DE EMPLAZAMIENTO 2020-2021</v>
      </c>
      <c r="B178" t="str">
        <f t="shared" si="11"/>
        <v>Objetivo 1. Actividad 2. Muestreos y Analisis sedimentos</v>
      </c>
      <c r="C178" t="str">
        <f t="shared" si="12"/>
        <v>Gastón Vidal</v>
      </c>
      <c r="D178" t="str">
        <f t="shared" si="13"/>
        <v>INSTITUTO DE FOMENTO PESQUERO</v>
      </c>
      <c r="E178" s="15" t="s">
        <v>40</v>
      </c>
      <c r="F178" s="16" t="s">
        <v>368</v>
      </c>
      <c r="G178" s="17">
        <v>19</v>
      </c>
      <c r="H178" s="19" t="s">
        <v>383</v>
      </c>
      <c r="I178" s="19" t="s">
        <v>384</v>
      </c>
      <c r="J178" s="23">
        <v>7.2600000000000007</v>
      </c>
      <c r="K178" s="38">
        <v>9.9999999999997868E-3</v>
      </c>
      <c r="L178" s="23">
        <v>14.233333333333334</v>
      </c>
      <c r="M178" s="38">
        <v>0.51316014394468856</v>
      </c>
      <c r="N178" s="23">
        <v>135.1</v>
      </c>
      <c r="O178" s="38">
        <v>27.344469276254106</v>
      </c>
      <c r="P178" s="23">
        <v>50.958386317430232</v>
      </c>
      <c r="Q178" s="38">
        <v>13.218801025789766</v>
      </c>
      <c r="R178" s="23">
        <v>6.5213270142180013</v>
      </c>
      <c r="S178" s="34">
        <v>4.5999999999999996</v>
      </c>
      <c r="T178" s="23">
        <v>17.2</v>
      </c>
      <c r="U178" s="29">
        <v>44237</v>
      </c>
      <c r="V178" s="30">
        <v>0.67361111111111116</v>
      </c>
      <c r="W178" s="14">
        <f t="shared" si="14"/>
        <v>19</v>
      </c>
    </row>
    <row r="179" spans="1:23" x14ac:dyDescent="0.35">
      <c r="A179" t="str">
        <f t="shared" si="10"/>
        <v>ESTUDIO SEGUIMIENTO DESEMPEÑO AMBIENTAL ACUICULTURA EN CHILE Y SU EFECTO EN LOS ECOSISTEMAS DE EMPLAZAMIENTO 2020-2021</v>
      </c>
      <c r="B179" t="str">
        <f t="shared" si="11"/>
        <v>Objetivo 1. Actividad 2. Muestreos y Analisis sedimentos</v>
      </c>
      <c r="C179" t="str">
        <f t="shared" si="12"/>
        <v>Gastón Vidal</v>
      </c>
      <c r="D179" t="str">
        <f t="shared" si="13"/>
        <v>INSTITUTO DE FOMENTO PESQUERO</v>
      </c>
      <c r="E179" s="15" t="s">
        <v>40</v>
      </c>
      <c r="F179" s="16" t="s">
        <v>385</v>
      </c>
      <c r="G179" s="17">
        <v>1</v>
      </c>
      <c r="H179" s="19" t="s">
        <v>386</v>
      </c>
      <c r="I179" s="19" t="s">
        <v>387</v>
      </c>
      <c r="J179" s="23">
        <v>7.53</v>
      </c>
      <c r="K179" s="38">
        <v>1.0000000000000231E-2</v>
      </c>
      <c r="L179" s="23">
        <v>21.166666666666664</v>
      </c>
      <c r="M179" s="38">
        <v>0.25166114784235838</v>
      </c>
      <c r="N179" s="23">
        <v>332.73333333333335</v>
      </c>
      <c r="O179" s="38">
        <v>5.4049360156558182</v>
      </c>
      <c r="P179" s="23">
        <v>0.05</v>
      </c>
      <c r="Q179" s="38"/>
      <c r="R179" s="23">
        <v>1.3194483065457858</v>
      </c>
      <c r="S179" s="23">
        <v>1.5</v>
      </c>
      <c r="T179" s="23">
        <v>20.45</v>
      </c>
      <c r="U179" s="29">
        <v>44239</v>
      </c>
      <c r="V179" s="30">
        <v>0.58680555555555558</v>
      </c>
      <c r="W179" s="14">
        <f t="shared" si="14"/>
        <v>1</v>
      </c>
    </row>
    <row r="180" spans="1:23" x14ac:dyDescent="0.35">
      <c r="A180" t="str">
        <f t="shared" si="10"/>
        <v>ESTUDIO SEGUIMIENTO DESEMPEÑO AMBIENTAL ACUICULTURA EN CHILE Y SU EFECTO EN LOS ECOSISTEMAS DE EMPLAZAMIENTO 2020-2021</v>
      </c>
      <c r="B180" t="str">
        <f t="shared" si="11"/>
        <v>Objetivo 1. Actividad 2. Muestreos y Analisis sedimentos</v>
      </c>
      <c r="C180" t="str">
        <f t="shared" si="12"/>
        <v>Gastón Vidal</v>
      </c>
      <c r="D180" t="str">
        <f t="shared" si="13"/>
        <v>INSTITUTO DE FOMENTO PESQUERO</v>
      </c>
      <c r="E180" s="15" t="s">
        <v>40</v>
      </c>
      <c r="F180" s="16" t="s">
        <v>385</v>
      </c>
      <c r="G180" s="17">
        <v>2</v>
      </c>
      <c r="H180" s="19" t="s">
        <v>388</v>
      </c>
      <c r="I180" s="19" t="s">
        <v>389</v>
      </c>
      <c r="J180" s="23">
        <v>7.5166666666666657</v>
      </c>
      <c r="K180" s="38">
        <v>8.504900548115385E-2</v>
      </c>
      <c r="L180" s="23">
        <v>21.233333333333334</v>
      </c>
      <c r="M180" s="38">
        <v>0.11547005383792475</v>
      </c>
      <c r="N180" s="23">
        <v>332.9666666666667</v>
      </c>
      <c r="O180" s="38">
        <v>22.159046309201432</v>
      </c>
      <c r="P180" s="23">
        <v>0.05</v>
      </c>
      <c r="Q180" s="38"/>
      <c r="R180" s="23">
        <v>0.69170336713585145</v>
      </c>
      <c r="S180" s="23">
        <v>1.7</v>
      </c>
      <c r="T180" s="23">
        <v>20.47</v>
      </c>
      <c r="U180" s="29">
        <v>44239</v>
      </c>
      <c r="V180" s="30">
        <v>0.55902777777777779</v>
      </c>
      <c r="W180" s="14">
        <f t="shared" si="14"/>
        <v>2</v>
      </c>
    </row>
    <row r="181" spans="1:23" x14ac:dyDescent="0.35">
      <c r="A181" t="str">
        <f t="shared" si="10"/>
        <v>ESTUDIO SEGUIMIENTO DESEMPEÑO AMBIENTAL ACUICULTURA EN CHILE Y SU EFECTO EN LOS ECOSISTEMAS DE EMPLAZAMIENTO 2020-2021</v>
      </c>
      <c r="B181" t="str">
        <f t="shared" si="11"/>
        <v>Objetivo 1. Actividad 2. Muestreos y Analisis sedimentos</v>
      </c>
      <c r="C181" t="str">
        <f t="shared" si="12"/>
        <v>Gastón Vidal</v>
      </c>
      <c r="D181" t="str">
        <f t="shared" si="13"/>
        <v>INSTITUTO DE FOMENTO PESQUERO</v>
      </c>
      <c r="E181" s="15" t="s">
        <v>40</v>
      </c>
      <c r="F181" s="16" t="s">
        <v>385</v>
      </c>
      <c r="G181" s="17">
        <v>3</v>
      </c>
      <c r="H181" s="19" t="s">
        <v>390</v>
      </c>
      <c r="I181" s="19" t="s">
        <v>391</v>
      </c>
      <c r="J181" s="23">
        <v>7.69</v>
      </c>
      <c r="K181" s="38">
        <v>5.291502622129203E-2</v>
      </c>
      <c r="L181" s="23">
        <v>19.133333333333336</v>
      </c>
      <c r="M181" s="38">
        <v>0.72341781380702352</v>
      </c>
      <c r="N181" s="23">
        <v>313.40000000000003</v>
      </c>
      <c r="O181" s="38">
        <v>8.8385519175937279</v>
      </c>
      <c r="P181" s="23">
        <v>0.05</v>
      </c>
      <c r="Q181" s="38"/>
      <c r="R181" s="23">
        <v>0.84933146038188156</v>
      </c>
      <c r="S181" s="23">
        <v>1.7</v>
      </c>
      <c r="T181" s="23">
        <v>20.420000000000002</v>
      </c>
      <c r="U181" s="29">
        <v>44239</v>
      </c>
      <c r="V181" s="30">
        <v>0.52708333333333335</v>
      </c>
      <c r="W181" s="14">
        <f t="shared" si="14"/>
        <v>3</v>
      </c>
    </row>
    <row r="182" spans="1:23" x14ac:dyDescent="0.35">
      <c r="A182" t="str">
        <f t="shared" si="10"/>
        <v>ESTUDIO SEGUIMIENTO DESEMPEÑO AMBIENTAL ACUICULTURA EN CHILE Y SU EFECTO EN LOS ECOSISTEMAS DE EMPLAZAMIENTO 2020-2021</v>
      </c>
      <c r="B182" t="str">
        <f t="shared" si="11"/>
        <v>Objetivo 1. Actividad 2. Muestreos y Analisis sedimentos</v>
      </c>
      <c r="C182" t="str">
        <f t="shared" si="12"/>
        <v>Gastón Vidal</v>
      </c>
      <c r="D182" t="str">
        <f t="shared" si="13"/>
        <v>INSTITUTO DE FOMENTO PESQUERO</v>
      </c>
      <c r="E182" s="15" t="s">
        <v>40</v>
      </c>
      <c r="F182" s="16" t="s">
        <v>385</v>
      </c>
      <c r="G182" s="17">
        <v>4</v>
      </c>
      <c r="H182" s="19" t="s">
        <v>392</v>
      </c>
      <c r="I182" s="19" t="s">
        <v>393</v>
      </c>
      <c r="J182" s="23">
        <v>7.6066666666666665</v>
      </c>
      <c r="K182" s="38">
        <v>0.11372481406154633</v>
      </c>
      <c r="L182" s="23">
        <v>20.733333333333334</v>
      </c>
      <c r="M182" s="38">
        <v>0.15275252316519336</v>
      </c>
      <c r="N182" s="23">
        <v>273.20333333333332</v>
      </c>
      <c r="O182" s="38">
        <v>40.290507980581815</v>
      </c>
      <c r="P182" s="23">
        <v>0.05</v>
      </c>
      <c r="Q182" s="38"/>
      <c r="R182" s="23">
        <v>0.71364182692305966</v>
      </c>
      <c r="S182" s="23">
        <v>1.2</v>
      </c>
      <c r="T182" s="23">
        <v>20.100000000000001</v>
      </c>
      <c r="U182" s="29">
        <v>44239</v>
      </c>
      <c r="V182" s="30">
        <v>0.49652777777777773</v>
      </c>
      <c r="W182" s="14">
        <f t="shared" si="14"/>
        <v>4</v>
      </c>
    </row>
    <row r="183" spans="1:23" x14ac:dyDescent="0.35">
      <c r="A183" t="str">
        <f t="shared" si="10"/>
        <v>ESTUDIO SEGUIMIENTO DESEMPEÑO AMBIENTAL ACUICULTURA EN CHILE Y SU EFECTO EN LOS ECOSISTEMAS DE EMPLAZAMIENTO 2020-2021</v>
      </c>
      <c r="B183" t="str">
        <f t="shared" si="11"/>
        <v>Objetivo 1. Actividad 2. Muestreos y Analisis sedimentos</v>
      </c>
      <c r="C183" t="str">
        <f t="shared" si="12"/>
        <v>Gastón Vidal</v>
      </c>
      <c r="D183" t="str">
        <f t="shared" si="13"/>
        <v>INSTITUTO DE FOMENTO PESQUERO</v>
      </c>
      <c r="E183" s="15" t="s">
        <v>40</v>
      </c>
      <c r="F183" s="16" t="s">
        <v>385</v>
      </c>
      <c r="G183" s="17">
        <v>6</v>
      </c>
      <c r="H183" s="19" t="s">
        <v>394</v>
      </c>
      <c r="I183" s="19" t="s">
        <v>395</v>
      </c>
      <c r="J183" s="23">
        <v>7.7733333333333334</v>
      </c>
      <c r="K183" s="38">
        <v>5.5075705472860864E-2</v>
      </c>
      <c r="L183" s="23">
        <v>18.8</v>
      </c>
      <c r="M183" s="38">
        <v>0.34641016151377424</v>
      </c>
      <c r="N183" s="23">
        <v>271.73333333333335</v>
      </c>
      <c r="O183" s="38">
        <v>4.5621632295801691</v>
      </c>
      <c r="P183" s="23">
        <v>0.05</v>
      </c>
      <c r="Q183" s="38"/>
      <c r="R183" s="23">
        <v>0.79504324888041467</v>
      </c>
      <c r="S183" s="23">
        <v>1.6</v>
      </c>
      <c r="T183" s="23">
        <v>19.8</v>
      </c>
      <c r="U183" s="29">
        <v>44239</v>
      </c>
      <c r="V183" s="30">
        <v>0.4694444444444445</v>
      </c>
      <c r="W183" s="14">
        <f t="shared" si="14"/>
        <v>6</v>
      </c>
    </row>
    <row r="184" spans="1:23" x14ac:dyDescent="0.35">
      <c r="A184" t="str">
        <f t="shared" si="10"/>
        <v>ESTUDIO SEGUIMIENTO DESEMPEÑO AMBIENTAL ACUICULTURA EN CHILE Y SU EFECTO EN LOS ECOSISTEMAS DE EMPLAZAMIENTO 2020-2021</v>
      </c>
      <c r="B184" t="str">
        <f t="shared" si="11"/>
        <v>Objetivo 1. Actividad 2. Muestreos y Analisis sedimentos</v>
      </c>
      <c r="C184" t="str">
        <f t="shared" si="12"/>
        <v>Gastón Vidal</v>
      </c>
      <c r="D184" t="str">
        <f t="shared" si="13"/>
        <v>INSTITUTO DE FOMENTO PESQUERO</v>
      </c>
      <c r="E184" s="15" t="s">
        <v>40</v>
      </c>
      <c r="F184" s="16" t="s">
        <v>385</v>
      </c>
      <c r="G184" s="17">
        <v>9</v>
      </c>
      <c r="H184" s="19" t="s">
        <v>396</v>
      </c>
      <c r="I184" s="19" t="s">
        <v>397</v>
      </c>
      <c r="J184" s="23">
        <v>7.4233333333333329</v>
      </c>
      <c r="K184" s="38">
        <v>9.2915732431775561E-2</v>
      </c>
      <c r="L184" s="23">
        <v>17.7</v>
      </c>
      <c r="M184" s="38">
        <v>9.9999999999999645E-2</v>
      </c>
      <c r="N184" s="23">
        <v>153.66666666666666</v>
      </c>
      <c r="O184" s="38">
        <v>27.153882472555111</v>
      </c>
      <c r="P184" s="23">
        <v>80.977829720838031</v>
      </c>
      <c r="Q184" s="38">
        <v>13.65875521611205</v>
      </c>
      <c r="R184" s="23">
        <v>12.995625793706779</v>
      </c>
      <c r="S184" s="23">
        <v>1.2</v>
      </c>
      <c r="T184" s="23">
        <v>19.5</v>
      </c>
      <c r="U184" s="29">
        <v>44239</v>
      </c>
      <c r="V184" s="30">
        <v>0.4375</v>
      </c>
      <c r="W184" s="14">
        <f t="shared" si="14"/>
        <v>9</v>
      </c>
    </row>
    <row r="185" spans="1:23" x14ac:dyDescent="0.35">
      <c r="A185" t="str">
        <f t="shared" si="10"/>
        <v>ESTUDIO SEGUIMIENTO DESEMPEÑO AMBIENTAL ACUICULTURA EN CHILE Y SU EFECTO EN LOS ECOSISTEMAS DE EMPLAZAMIENTO 2020-2021</v>
      </c>
      <c r="B185" t="str">
        <f t="shared" si="11"/>
        <v>Objetivo 1. Actividad 2. Muestreos y Analisis sedimentos</v>
      </c>
      <c r="C185" t="str">
        <f t="shared" si="12"/>
        <v>Gastón Vidal</v>
      </c>
      <c r="D185" t="str">
        <f t="shared" si="13"/>
        <v>INSTITUTO DE FOMENTO PESQUERO</v>
      </c>
      <c r="E185" s="15" t="s">
        <v>40</v>
      </c>
      <c r="F185" s="16" t="s">
        <v>385</v>
      </c>
      <c r="G185" s="17">
        <v>11</v>
      </c>
      <c r="H185" s="19" t="s">
        <v>398</v>
      </c>
      <c r="I185" s="19" t="s">
        <v>399</v>
      </c>
      <c r="J185" s="23">
        <v>7.5333333333333341</v>
      </c>
      <c r="K185" s="38">
        <v>4.9328828623162443E-2</v>
      </c>
      <c r="L185" s="23">
        <v>17.8</v>
      </c>
      <c r="M185" s="38">
        <v>0.30000000000000071</v>
      </c>
      <c r="N185" s="23">
        <v>159.33333333333334</v>
      </c>
      <c r="O185" s="38">
        <v>12.291596044994863</v>
      </c>
      <c r="P185" s="23">
        <v>90.105452005668553</v>
      </c>
      <c r="Q185" s="38">
        <v>40.536619033208282</v>
      </c>
      <c r="R185" s="23">
        <v>11.337693589189845</v>
      </c>
      <c r="S185" s="23">
        <v>1.6</v>
      </c>
      <c r="T185" s="23">
        <v>19.420000000000002</v>
      </c>
      <c r="U185" s="29">
        <v>44239</v>
      </c>
      <c r="V185" s="30">
        <v>0.4055555555555555</v>
      </c>
      <c r="W185" s="14">
        <f t="shared" si="14"/>
        <v>11</v>
      </c>
    </row>
    <row r="186" spans="1:23" x14ac:dyDescent="0.35">
      <c r="A186" t="str">
        <f t="shared" si="10"/>
        <v>ESTUDIO SEGUIMIENTO DESEMPEÑO AMBIENTAL ACUICULTURA EN CHILE Y SU EFECTO EN LOS ECOSISTEMAS DE EMPLAZAMIENTO 2020-2021</v>
      </c>
      <c r="B186" t="str">
        <f t="shared" si="11"/>
        <v>Objetivo 1. Actividad 2. Muestreos y Analisis sedimentos</v>
      </c>
      <c r="C186" t="str">
        <f t="shared" si="12"/>
        <v>Gastón Vidal</v>
      </c>
      <c r="D186" t="str">
        <f t="shared" si="13"/>
        <v>INSTITUTO DE FOMENTO PESQUERO</v>
      </c>
      <c r="E186" s="15" t="s">
        <v>40</v>
      </c>
      <c r="F186" s="16" t="s">
        <v>385</v>
      </c>
      <c r="G186" s="21">
        <v>15</v>
      </c>
      <c r="H186" s="22" t="s">
        <v>400</v>
      </c>
      <c r="I186" s="22" t="s">
        <v>401</v>
      </c>
      <c r="J186" s="24">
        <v>7.3633333333333333</v>
      </c>
      <c r="K186" s="39">
        <v>5.5075705472861163E-2</v>
      </c>
      <c r="L186" s="24">
        <v>16.433333333333334</v>
      </c>
      <c r="M186" s="39">
        <v>0.15275252316519528</v>
      </c>
      <c r="N186" s="24">
        <v>194.33333333333334</v>
      </c>
      <c r="O186" s="39">
        <v>64.267669425095349</v>
      </c>
      <c r="P186" s="24">
        <v>23.229660460932809</v>
      </c>
      <c r="Q186" s="39">
        <v>12.666709916632714</v>
      </c>
      <c r="R186" s="24">
        <v>11.201128214360738</v>
      </c>
      <c r="S186" s="24">
        <v>1.8</v>
      </c>
      <c r="T186" s="24">
        <v>18.11</v>
      </c>
      <c r="U186" s="31">
        <v>44239</v>
      </c>
      <c r="V186" s="32">
        <v>0.36805555555555558</v>
      </c>
      <c r="W186" s="14">
        <f t="shared" si="14"/>
        <v>15</v>
      </c>
    </row>
  </sheetData>
  <conditionalFormatting sqref="H128:I149 H112:I126 H83:I110 H80:I81 H56:I78 H27:I44">
    <cfRule type="containsText" dxfId="3" priority="1105" stopIfTrue="1" operator="containsText" text="sd">
      <formula>NOT(ISERROR(SEARCH("sd",H27)))</formula>
    </cfRule>
  </conditionalFormatting>
  <conditionalFormatting sqref="H45:I48">
    <cfRule type="containsText" dxfId="2" priority="1104" stopIfTrue="1" operator="containsText" text="sd">
      <formula>NOT(ISERROR(SEARCH("sd",H45)))</formula>
    </cfRule>
  </conditionalFormatting>
  <conditionalFormatting sqref="H49:I55">
    <cfRule type="containsText" dxfId="1" priority="1103" stopIfTrue="1" operator="containsText" text="sd">
      <formula>NOT(ISERROR(SEARCH("sd",H49)))</formula>
    </cfRule>
  </conditionalFormatting>
  <conditionalFormatting sqref="H111:I111">
    <cfRule type="containsText" dxfId="0" priority="1102" stopIfTrue="1" operator="containsText" text="sd">
      <formula>NOT(ISERROR(SEARCH("sd",H111)))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2026-01-13T12:43:55Z</dcterms:modified>
</cp:coreProperties>
</file>