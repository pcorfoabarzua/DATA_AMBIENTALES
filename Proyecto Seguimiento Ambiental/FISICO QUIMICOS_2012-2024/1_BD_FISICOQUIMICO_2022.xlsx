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0_ncr:8100000_{45E014F8-F890-41AC-AD4C-E483A2BC7F75}" xr6:coauthVersionLast="34" xr6:coauthVersionMax="34" xr10:uidLastSave="{00000000-0000-0000-0000-000000000000}"/>
  <bookViews>
    <workbookView xWindow="0" yWindow="0" windowWidth="22260" windowHeight="12650" xr2:uid="{00000000-000D-0000-FFFF-FFFF00000000}"/>
  </bookViews>
  <sheets>
    <sheet name="202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8" i="1" l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A18" i="1"/>
  <c r="B18" i="1"/>
  <c r="C18" i="1"/>
  <c r="D18" i="1"/>
  <c r="A19" i="1"/>
  <c r="B19" i="1"/>
  <c r="C19" i="1"/>
  <c r="D19" i="1"/>
  <c r="A20" i="1"/>
  <c r="B20" i="1"/>
  <c r="C20" i="1"/>
  <c r="D20" i="1"/>
  <c r="A21" i="1"/>
  <c r="B21" i="1"/>
  <c r="C21" i="1"/>
  <c r="D21" i="1"/>
  <c r="A22" i="1"/>
  <c r="B22" i="1"/>
  <c r="C22" i="1"/>
  <c r="D22" i="1"/>
  <c r="A23" i="1"/>
  <c r="B23" i="1"/>
  <c r="C23" i="1"/>
  <c r="D23" i="1"/>
  <c r="A24" i="1"/>
  <c r="B24" i="1"/>
  <c r="C24" i="1"/>
  <c r="D24" i="1"/>
  <c r="A25" i="1"/>
  <c r="B25" i="1"/>
  <c r="C25" i="1"/>
  <c r="D25" i="1"/>
  <c r="A26" i="1"/>
  <c r="B26" i="1"/>
  <c r="C26" i="1"/>
  <c r="D26" i="1"/>
  <c r="A27" i="1"/>
  <c r="B27" i="1"/>
  <c r="C27" i="1"/>
  <c r="D27" i="1"/>
  <c r="A28" i="1"/>
  <c r="B28" i="1"/>
  <c r="C28" i="1"/>
  <c r="D28" i="1"/>
  <c r="A29" i="1"/>
  <c r="B29" i="1"/>
  <c r="C29" i="1"/>
  <c r="D29" i="1"/>
  <c r="A30" i="1"/>
  <c r="B30" i="1"/>
  <c r="C30" i="1"/>
  <c r="D30" i="1"/>
  <c r="A31" i="1"/>
  <c r="B31" i="1"/>
  <c r="C31" i="1"/>
  <c r="D31" i="1"/>
  <c r="A32" i="1"/>
  <c r="B32" i="1"/>
  <c r="C32" i="1"/>
  <c r="D32" i="1"/>
  <c r="A33" i="1"/>
  <c r="B33" i="1"/>
  <c r="C33" i="1"/>
  <c r="D33" i="1"/>
  <c r="A34" i="1"/>
  <c r="B34" i="1"/>
  <c r="C34" i="1"/>
  <c r="D34" i="1"/>
  <c r="A35" i="1"/>
  <c r="B35" i="1"/>
  <c r="C35" i="1"/>
  <c r="D35" i="1"/>
  <c r="A36" i="1"/>
  <c r="B36" i="1"/>
  <c r="C36" i="1"/>
  <c r="D36" i="1"/>
  <c r="A37" i="1"/>
  <c r="B37" i="1"/>
  <c r="C37" i="1"/>
  <c r="D37" i="1"/>
  <c r="A38" i="1"/>
  <c r="B38" i="1"/>
  <c r="C38" i="1"/>
  <c r="D38" i="1"/>
  <c r="A39" i="1"/>
  <c r="B39" i="1"/>
  <c r="C39" i="1"/>
  <c r="D39" i="1"/>
  <c r="A40" i="1"/>
  <c r="B40" i="1"/>
  <c r="C40" i="1"/>
  <c r="D40" i="1"/>
  <c r="A41" i="1"/>
  <c r="B41" i="1"/>
  <c r="C41" i="1"/>
  <c r="D41" i="1"/>
  <c r="A42" i="1"/>
  <c r="B42" i="1"/>
  <c r="C42" i="1"/>
  <c r="D42" i="1"/>
  <c r="A43" i="1"/>
  <c r="B43" i="1"/>
  <c r="C43" i="1"/>
  <c r="D43" i="1"/>
  <c r="A44" i="1"/>
  <c r="B44" i="1"/>
  <c r="C44" i="1"/>
  <c r="D44" i="1"/>
  <c r="A45" i="1"/>
  <c r="B45" i="1"/>
  <c r="C45" i="1"/>
  <c r="D45" i="1"/>
  <c r="A46" i="1"/>
  <c r="B46" i="1"/>
  <c r="C46" i="1"/>
  <c r="D46" i="1"/>
  <c r="A47" i="1"/>
  <c r="B47" i="1"/>
  <c r="C47" i="1"/>
  <c r="D47" i="1"/>
  <c r="A48" i="1"/>
  <c r="B48" i="1"/>
  <c r="C48" i="1"/>
  <c r="D48" i="1"/>
  <c r="A49" i="1"/>
  <c r="B49" i="1"/>
  <c r="C49" i="1"/>
  <c r="D49" i="1"/>
  <c r="A50" i="1"/>
  <c r="B50" i="1"/>
  <c r="C50" i="1"/>
  <c r="D50" i="1"/>
  <c r="A51" i="1"/>
  <c r="B51" i="1"/>
  <c r="C51" i="1"/>
  <c r="D51" i="1"/>
  <c r="A52" i="1"/>
  <c r="B52" i="1"/>
  <c r="C52" i="1"/>
  <c r="D52" i="1"/>
  <c r="A53" i="1"/>
  <c r="B53" i="1"/>
  <c r="C53" i="1"/>
  <c r="D53" i="1"/>
  <c r="A54" i="1"/>
  <c r="B54" i="1"/>
  <c r="C54" i="1"/>
  <c r="D54" i="1"/>
  <c r="A55" i="1"/>
  <c r="B55" i="1"/>
  <c r="C55" i="1"/>
  <c r="D55" i="1"/>
  <c r="A56" i="1"/>
  <c r="B56" i="1"/>
  <c r="C56" i="1"/>
  <c r="D56" i="1"/>
  <c r="A57" i="1"/>
  <c r="B57" i="1"/>
  <c r="C57" i="1"/>
  <c r="D57" i="1"/>
  <c r="A58" i="1"/>
  <c r="B58" i="1"/>
  <c r="C58" i="1"/>
  <c r="D58" i="1"/>
  <c r="A59" i="1"/>
  <c r="B59" i="1"/>
  <c r="C59" i="1"/>
  <c r="D59" i="1"/>
  <c r="A60" i="1"/>
  <c r="B60" i="1"/>
  <c r="C60" i="1"/>
  <c r="D60" i="1"/>
  <c r="A61" i="1"/>
  <c r="B61" i="1"/>
  <c r="C61" i="1"/>
  <c r="D61" i="1"/>
  <c r="A62" i="1"/>
  <c r="B62" i="1"/>
  <c r="C62" i="1"/>
  <c r="D62" i="1"/>
  <c r="A63" i="1"/>
  <c r="B63" i="1"/>
  <c r="C63" i="1"/>
  <c r="D63" i="1"/>
  <c r="A64" i="1"/>
  <c r="B64" i="1"/>
  <c r="C64" i="1"/>
  <c r="D64" i="1"/>
  <c r="A65" i="1"/>
  <c r="B65" i="1"/>
  <c r="C65" i="1"/>
  <c r="D65" i="1"/>
  <c r="A66" i="1"/>
  <c r="B66" i="1"/>
  <c r="C66" i="1"/>
  <c r="D66" i="1"/>
  <c r="A67" i="1"/>
  <c r="B67" i="1"/>
  <c r="C67" i="1"/>
  <c r="D67" i="1"/>
  <c r="A68" i="1"/>
  <c r="B68" i="1"/>
  <c r="C68" i="1"/>
  <c r="D68" i="1"/>
  <c r="A69" i="1"/>
  <c r="B69" i="1"/>
  <c r="C69" i="1"/>
  <c r="D69" i="1"/>
  <c r="A70" i="1"/>
  <c r="B70" i="1"/>
  <c r="C70" i="1"/>
  <c r="D70" i="1"/>
  <c r="A71" i="1"/>
  <c r="B71" i="1"/>
  <c r="C71" i="1"/>
  <c r="D71" i="1"/>
  <c r="A72" i="1"/>
  <c r="B72" i="1"/>
  <c r="C72" i="1"/>
  <c r="D72" i="1"/>
  <c r="A73" i="1"/>
  <c r="B73" i="1"/>
  <c r="C73" i="1"/>
  <c r="D73" i="1"/>
  <c r="A74" i="1"/>
  <c r="B74" i="1"/>
  <c r="C74" i="1"/>
  <c r="D74" i="1"/>
  <c r="A75" i="1"/>
  <c r="B75" i="1"/>
  <c r="C75" i="1"/>
  <c r="D75" i="1"/>
  <c r="A76" i="1"/>
  <c r="B76" i="1"/>
  <c r="C76" i="1"/>
  <c r="D76" i="1"/>
  <c r="A77" i="1"/>
  <c r="B77" i="1"/>
  <c r="C77" i="1"/>
  <c r="D77" i="1"/>
  <c r="A78" i="1"/>
  <c r="B78" i="1"/>
  <c r="C78" i="1"/>
  <c r="D78" i="1"/>
  <c r="A79" i="1"/>
  <c r="B79" i="1"/>
  <c r="C79" i="1"/>
  <c r="D79" i="1"/>
  <c r="A80" i="1"/>
  <c r="B80" i="1"/>
  <c r="C80" i="1"/>
  <c r="D80" i="1"/>
  <c r="A81" i="1"/>
  <c r="B81" i="1"/>
  <c r="C81" i="1"/>
  <c r="D81" i="1"/>
  <c r="A82" i="1"/>
  <c r="B82" i="1"/>
  <c r="C82" i="1"/>
  <c r="D82" i="1"/>
  <c r="A83" i="1"/>
  <c r="B83" i="1"/>
  <c r="C83" i="1"/>
  <c r="D83" i="1"/>
  <c r="A84" i="1"/>
  <c r="B84" i="1"/>
  <c r="C84" i="1"/>
  <c r="D84" i="1"/>
  <c r="A85" i="1"/>
  <c r="B85" i="1"/>
  <c r="C85" i="1"/>
  <c r="D85" i="1"/>
  <c r="A86" i="1"/>
  <c r="B86" i="1"/>
  <c r="C86" i="1"/>
  <c r="D86" i="1"/>
  <c r="A87" i="1"/>
  <c r="B87" i="1"/>
  <c r="C87" i="1"/>
  <c r="D87" i="1"/>
  <c r="A88" i="1"/>
  <c r="B88" i="1"/>
  <c r="C88" i="1"/>
  <c r="D88" i="1"/>
  <c r="A89" i="1"/>
  <c r="B89" i="1"/>
  <c r="C89" i="1"/>
  <c r="D89" i="1"/>
  <c r="A90" i="1"/>
  <c r="B90" i="1"/>
  <c r="C90" i="1"/>
  <c r="D90" i="1"/>
  <c r="A91" i="1"/>
  <c r="B91" i="1"/>
  <c r="C91" i="1"/>
  <c r="D91" i="1"/>
  <c r="A92" i="1"/>
  <c r="B92" i="1"/>
  <c r="C92" i="1"/>
  <c r="D92" i="1"/>
  <c r="A93" i="1"/>
  <c r="B93" i="1"/>
  <c r="C93" i="1"/>
  <c r="D93" i="1"/>
  <c r="A94" i="1"/>
  <c r="B94" i="1"/>
  <c r="C94" i="1"/>
  <c r="D94" i="1"/>
  <c r="A95" i="1"/>
  <c r="B95" i="1"/>
  <c r="C95" i="1"/>
  <c r="D95" i="1"/>
  <c r="A96" i="1"/>
  <c r="B96" i="1"/>
  <c r="C96" i="1"/>
  <c r="D96" i="1"/>
  <c r="A97" i="1"/>
  <c r="B97" i="1"/>
  <c r="C97" i="1"/>
  <c r="D97" i="1"/>
  <c r="A98" i="1"/>
  <c r="B98" i="1"/>
  <c r="C98" i="1"/>
  <c r="D98" i="1"/>
  <c r="A99" i="1"/>
  <c r="B99" i="1"/>
  <c r="C99" i="1"/>
  <c r="D99" i="1"/>
  <c r="A100" i="1"/>
  <c r="B100" i="1"/>
  <c r="C100" i="1"/>
  <c r="D100" i="1"/>
  <c r="A101" i="1"/>
  <c r="B101" i="1"/>
  <c r="C101" i="1"/>
  <c r="D101" i="1"/>
  <c r="A102" i="1"/>
  <c r="B102" i="1"/>
  <c r="C102" i="1"/>
  <c r="D102" i="1"/>
  <c r="A103" i="1"/>
  <c r="B103" i="1"/>
  <c r="C103" i="1"/>
  <c r="D103" i="1"/>
  <c r="A104" i="1"/>
  <c r="B104" i="1"/>
  <c r="C104" i="1"/>
  <c r="D104" i="1"/>
  <c r="A105" i="1"/>
  <c r="B105" i="1"/>
  <c r="C105" i="1"/>
  <c r="D105" i="1"/>
  <c r="A106" i="1"/>
  <c r="B106" i="1"/>
  <c r="C106" i="1"/>
  <c r="D106" i="1"/>
  <c r="A107" i="1"/>
  <c r="B107" i="1"/>
  <c r="C107" i="1"/>
  <c r="D107" i="1"/>
  <c r="A108" i="1"/>
  <c r="B108" i="1"/>
  <c r="C108" i="1"/>
  <c r="D108" i="1"/>
  <c r="A109" i="1"/>
  <c r="B109" i="1"/>
  <c r="C109" i="1"/>
  <c r="D109" i="1"/>
  <c r="A110" i="1"/>
  <c r="B110" i="1"/>
  <c r="C110" i="1"/>
  <c r="D110" i="1"/>
  <c r="A111" i="1"/>
  <c r="B111" i="1"/>
  <c r="C111" i="1"/>
  <c r="D111" i="1"/>
  <c r="A112" i="1"/>
  <c r="B112" i="1"/>
  <c r="C112" i="1"/>
  <c r="D112" i="1"/>
  <c r="A113" i="1"/>
  <c r="B113" i="1"/>
  <c r="C113" i="1"/>
  <c r="D113" i="1"/>
  <c r="A114" i="1"/>
  <c r="B114" i="1"/>
  <c r="C114" i="1"/>
  <c r="D114" i="1"/>
  <c r="A115" i="1"/>
  <c r="B115" i="1"/>
  <c r="C115" i="1"/>
  <c r="D115" i="1"/>
  <c r="A116" i="1"/>
  <c r="B116" i="1"/>
  <c r="C116" i="1"/>
  <c r="D116" i="1"/>
  <c r="A117" i="1"/>
  <c r="B117" i="1"/>
  <c r="C117" i="1"/>
  <c r="D117" i="1"/>
  <c r="A118" i="1"/>
  <c r="B118" i="1"/>
  <c r="C118" i="1"/>
  <c r="D118" i="1"/>
  <c r="A119" i="1"/>
  <c r="B119" i="1"/>
  <c r="C119" i="1"/>
  <c r="D119" i="1"/>
  <c r="A120" i="1"/>
  <c r="B120" i="1"/>
  <c r="C120" i="1"/>
  <c r="D120" i="1"/>
  <c r="A121" i="1"/>
  <c r="B121" i="1"/>
  <c r="C121" i="1"/>
  <c r="D121" i="1"/>
  <c r="A122" i="1"/>
  <c r="B122" i="1"/>
  <c r="C122" i="1"/>
  <c r="D122" i="1"/>
  <c r="A123" i="1"/>
  <c r="B123" i="1"/>
  <c r="C123" i="1"/>
  <c r="D123" i="1"/>
  <c r="A124" i="1"/>
  <c r="B124" i="1"/>
  <c r="C124" i="1"/>
  <c r="D124" i="1"/>
  <c r="A125" i="1"/>
  <c r="B125" i="1"/>
  <c r="C125" i="1"/>
  <c r="D125" i="1"/>
  <c r="A126" i="1"/>
  <c r="B126" i="1"/>
  <c r="C126" i="1"/>
  <c r="D126" i="1"/>
  <c r="A127" i="1"/>
  <c r="B127" i="1"/>
  <c r="C127" i="1"/>
  <c r="D127" i="1"/>
  <c r="A128" i="1"/>
  <c r="B128" i="1"/>
  <c r="C128" i="1"/>
  <c r="D128" i="1"/>
  <c r="A129" i="1"/>
  <c r="B129" i="1"/>
  <c r="C129" i="1"/>
  <c r="D129" i="1"/>
  <c r="A130" i="1"/>
  <c r="B130" i="1"/>
  <c r="C130" i="1"/>
  <c r="D130" i="1"/>
  <c r="A131" i="1"/>
  <c r="B131" i="1"/>
  <c r="C131" i="1"/>
  <c r="D131" i="1"/>
  <c r="A132" i="1"/>
  <c r="B132" i="1"/>
  <c r="C132" i="1"/>
  <c r="D132" i="1"/>
  <c r="A133" i="1"/>
  <c r="B133" i="1"/>
  <c r="C133" i="1"/>
  <c r="D133" i="1"/>
  <c r="A134" i="1"/>
  <c r="B134" i="1"/>
  <c r="C134" i="1"/>
  <c r="D134" i="1"/>
  <c r="A135" i="1"/>
  <c r="B135" i="1"/>
  <c r="C135" i="1"/>
  <c r="D135" i="1"/>
  <c r="A136" i="1"/>
  <c r="B136" i="1"/>
  <c r="C136" i="1"/>
  <c r="D136" i="1"/>
  <c r="A137" i="1"/>
  <c r="B137" i="1"/>
  <c r="C137" i="1"/>
  <c r="D137" i="1"/>
  <c r="A138" i="1"/>
  <c r="B138" i="1"/>
  <c r="C138" i="1"/>
  <c r="D138" i="1"/>
  <c r="A139" i="1"/>
  <c r="B139" i="1"/>
  <c r="C139" i="1"/>
  <c r="D139" i="1"/>
  <c r="A140" i="1"/>
  <c r="B140" i="1"/>
  <c r="C140" i="1"/>
  <c r="D140" i="1"/>
  <c r="A141" i="1"/>
  <c r="B141" i="1"/>
  <c r="C141" i="1"/>
  <c r="D141" i="1"/>
  <c r="A142" i="1"/>
  <c r="B142" i="1"/>
  <c r="C142" i="1"/>
  <c r="D142" i="1"/>
  <c r="A143" i="1"/>
  <c r="B143" i="1"/>
  <c r="C143" i="1"/>
  <c r="D143" i="1"/>
  <c r="A144" i="1"/>
  <c r="B144" i="1"/>
  <c r="C144" i="1"/>
  <c r="D144" i="1"/>
  <c r="A145" i="1"/>
  <c r="B145" i="1"/>
  <c r="C145" i="1"/>
  <c r="D145" i="1"/>
  <c r="A146" i="1"/>
  <c r="B146" i="1"/>
  <c r="C146" i="1"/>
  <c r="D146" i="1"/>
  <c r="A147" i="1"/>
  <c r="B147" i="1"/>
  <c r="C147" i="1"/>
  <c r="D147" i="1"/>
  <c r="A148" i="1"/>
  <c r="B148" i="1"/>
  <c r="C148" i="1"/>
  <c r="D148" i="1"/>
  <c r="A149" i="1"/>
  <c r="B149" i="1"/>
  <c r="C149" i="1"/>
  <c r="D149" i="1"/>
  <c r="A150" i="1"/>
  <c r="B150" i="1"/>
  <c r="C150" i="1"/>
  <c r="D150" i="1"/>
  <c r="A151" i="1"/>
  <c r="B151" i="1"/>
  <c r="C151" i="1"/>
  <c r="D151" i="1"/>
  <c r="A152" i="1"/>
  <c r="B152" i="1"/>
  <c r="C152" i="1"/>
  <c r="D152" i="1"/>
  <c r="A153" i="1"/>
  <c r="B153" i="1"/>
  <c r="C153" i="1"/>
  <c r="D153" i="1"/>
  <c r="A154" i="1"/>
  <c r="B154" i="1"/>
  <c r="C154" i="1"/>
  <c r="D154" i="1"/>
  <c r="A155" i="1"/>
  <c r="B155" i="1"/>
  <c r="C155" i="1"/>
  <c r="D155" i="1"/>
  <c r="A156" i="1"/>
  <c r="B156" i="1"/>
  <c r="C156" i="1"/>
  <c r="D156" i="1"/>
  <c r="D17" i="1"/>
  <c r="C17" i="1"/>
  <c r="B17" i="1"/>
  <c r="U17" i="1" l="1"/>
  <c r="A17" i="1"/>
</calcChain>
</file>

<file path=xl/sharedStrings.xml><?xml version="1.0" encoding="utf-8"?>
<sst xmlns="http://schemas.openxmlformats.org/spreadsheetml/2006/main" count="715" uniqueCount="338">
  <si>
    <t>Nombre del Proyecto:</t>
  </si>
  <si>
    <t>Etapa Proyecto:</t>
  </si>
  <si>
    <t>Objetivo 1. Actividad 2. Muestreos y Analisis sedimentos</t>
  </si>
  <si>
    <t>Jefe Proyecto</t>
  </si>
  <si>
    <t>Gastón Vidal</t>
  </si>
  <si>
    <t xml:space="preserve">Institucion: </t>
  </si>
  <si>
    <t>INSTITUTO DE FOMENTO PESQUERO</t>
  </si>
  <si>
    <t xml:space="preserve">Nombre Sector: </t>
  </si>
  <si>
    <t>Región:</t>
  </si>
  <si>
    <t>Variables:</t>
  </si>
  <si>
    <t>Ph, Temperatura (°C), Redox transformado EHNHE (mV), Sulfuros (µM), Materia orgánica total (%),  arena(%), fango(%), grava(%), tamaño medio (Φ) y selección (Φ).</t>
  </si>
  <si>
    <t>Año muestreo:</t>
  </si>
  <si>
    <t xml:space="preserve">Equipos de medición: </t>
  </si>
  <si>
    <t xml:space="preserve">Draga Van Veen de 0,1 m2 </t>
  </si>
  <si>
    <t>Orion Star™ A324 pH/ISE Portable Multiparameter Meter. Thermo Scientific™</t>
  </si>
  <si>
    <t>Análisis de Materia organica Total  según Resolucion Exenta  3612-09. MINISTERIO DE ECONOMÍA, FOMENTO Y RECONSTRUCCIÓN; SUBSECRETARÍA DE PESCA</t>
  </si>
  <si>
    <t>Observaciones</t>
  </si>
  <si>
    <t>NOMB_PROY</t>
  </si>
  <si>
    <t>ETAP_PROY</t>
  </si>
  <si>
    <t>JEFE_PROY</t>
  </si>
  <si>
    <t>INST_PROY</t>
  </si>
  <si>
    <t>CAMPAÑA</t>
  </si>
  <si>
    <t>ZONA</t>
  </si>
  <si>
    <t>ESTACION</t>
  </si>
  <si>
    <t xml:space="preserve">Latitud S                </t>
  </si>
  <si>
    <t xml:space="preserve">Longitud W </t>
  </si>
  <si>
    <t>pH</t>
  </si>
  <si>
    <t>(ds)</t>
  </si>
  <si>
    <t>Temperatura (°C)</t>
  </si>
  <si>
    <t>Redox EHNHE (mV)</t>
  </si>
  <si>
    <t xml:space="preserve">Sulfuros (µM)   </t>
  </si>
  <si>
    <t>Materia orgánica total (%)</t>
  </si>
  <si>
    <t>Fecha</t>
  </si>
  <si>
    <t>Hora Muestreo</t>
  </si>
  <si>
    <t>Estacion</t>
  </si>
  <si>
    <t>ESTUDIO SEGUIMIENTO DESEMPEÑO AMBIENTAL ACUICULTURA EN CHILE Y SU EFECTO EN LOS ECOSISTEMAS DE EMPLAZAMIENTO 2022-2023</t>
  </si>
  <si>
    <t>Campaña_Inv_2022.Proy.SeguimientoAmbiental</t>
  </si>
  <si>
    <t>Estuario</t>
  </si>
  <si>
    <t>41°26'14,9''</t>
  </si>
  <si>
    <t>72°17'47,9''</t>
  </si>
  <si>
    <t>41°28'07,3''</t>
  </si>
  <si>
    <t>72°18'43,5''</t>
  </si>
  <si>
    <t>41°29'45,4''</t>
  </si>
  <si>
    <t>72°18'45,5''</t>
  </si>
  <si>
    <t>41°30'39,3''</t>
  </si>
  <si>
    <t>72°17'21,1''</t>
  </si>
  <si>
    <t>41°31'32,6''</t>
  </si>
  <si>
    <t>72°20'21,4''</t>
  </si>
  <si>
    <t>41°31'57,8''</t>
  </si>
  <si>
    <t>72°18'02,6''</t>
  </si>
  <si>
    <t>41°35'33,0''</t>
  </si>
  <si>
    <t>72°21'10,7''</t>
  </si>
  <si>
    <t>41°39'38,3''</t>
  </si>
  <si>
    <t>72°20'58,9''</t>
  </si>
  <si>
    <t>41°40'52,7''</t>
  </si>
  <si>
    <t>72°28'01,1''</t>
  </si>
  <si>
    <t>41°43'30,8''</t>
  </si>
  <si>
    <t>72°30'48,5''</t>
  </si>
  <si>
    <t>Reloncavi</t>
  </si>
  <si>
    <t>41°54'20,9''</t>
  </si>
  <si>
    <t>72°52'30,7''</t>
  </si>
  <si>
    <t>41°52'23,0''</t>
  </si>
  <si>
    <t>72°53'51,4''</t>
  </si>
  <si>
    <t>41°53'07,1''</t>
  </si>
  <si>
    <t>72°56'02,6''</t>
  </si>
  <si>
    <t>41°44'13,7''</t>
  </si>
  <si>
    <t>73°02'43,4''</t>
  </si>
  <si>
    <t>41°29'48,4''</t>
  </si>
  <si>
    <t>72°57'30,9''</t>
  </si>
  <si>
    <t>41°31'05,3''</t>
  </si>
  <si>
    <t>72°47'24,2''</t>
  </si>
  <si>
    <t>41°34'50,6''</t>
  </si>
  <si>
    <t>72°43'36,9''</t>
  </si>
  <si>
    <t>41°37'07,8''</t>
  </si>
  <si>
    <t>72°41'52,2''</t>
  </si>
  <si>
    <t>41°37'51,5''</t>
  </si>
  <si>
    <t>72°40'23,2''</t>
  </si>
  <si>
    <t>41°49'43,9''</t>
  </si>
  <si>
    <t>72°47'18,2''</t>
  </si>
  <si>
    <t>Calbuco</t>
  </si>
  <si>
    <t>41°44'42,2''</t>
  </si>
  <si>
    <t>73°06'10,3''</t>
  </si>
  <si>
    <t>41°46'30,1''</t>
  </si>
  <si>
    <t>73°05'05,2''</t>
  </si>
  <si>
    <t>41°43'14,7''</t>
  </si>
  <si>
    <t>73°09'33,2''</t>
  </si>
  <si>
    <t>41°48'22,6''</t>
  </si>
  <si>
    <t>73°10'18,3''</t>
  </si>
  <si>
    <t>41°47'05,8''</t>
  </si>
  <si>
    <t>41°50'16,4''</t>
  </si>
  <si>
    <t>73°04'47,2''</t>
  </si>
  <si>
    <t>41°49'59,8''</t>
  </si>
  <si>
    <t>73°06'29,1''</t>
  </si>
  <si>
    <t>41°50'19,0''</t>
  </si>
  <si>
    <t>73°08'22,5''</t>
  </si>
  <si>
    <t>Chacao</t>
  </si>
  <si>
    <t>41°56'59,3''</t>
  </si>
  <si>
    <t>73°31'34,3''</t>
  </si>
  <si>
    <t>41°54'15,1''</t>
  </si>
  <si>
    <t>73°29'06,8''</t>
  </si>
  <si>
    <t>41°52'17,3''</t>
  </si>
  <si>
    <t>73°31'07,9''</t>
  </si>
  <si>
    <t>41°51'15,7''</t>
  </si>
  <si>
    <t>73°28'51,2''</t>
  </si>
  <si>
    <t>Butachauques</t>
  </si>
  <si>
    <t>42°19'17,6''</t>
  </si>
  <si>
    <t>73°15'19,1''</t>
  </si>
  <si>
    <t>42°17'02,6''</t>
  </si>
  <si>
    <t>73°15'06,7''</t>
  </si>
  <si>
    <t>42°15'56,3''</t>
  </si>
  <si>
    <t>73°09'36,2''</t>
  </si>
  <si>
    <t>42°16'45,3''</t>
  </si>
  <si>
    <t>73°20'49,7''</t>
  </si>
  <si>
    <t>42°12'24,4''</t>
  </si>
  <si>
    <t>73°23'58,0''</t>
  </si>
  <si>
    <t>42°10'21,7''</t>
  </si>
  <si>
    <t>73°26'09,5''</t>
  </si>
  <si>
    <t>42°09'29,5''</t>
  </si>
  <si>
    <t>73°28'04,6''</t>
  </si>
  <si>
    <t>Chaulinec</t>
  </si>
  <si>
    <t>42°36'22,9''</t>
  </si>
  <si>
    <t>73°15'26,5''</t>
  </si>
  <si>
    <t>42°34'22,1''</t>
  </si>
  <si>
    <t>73°13'53,2''</t>
  </si>
  <si>
    <t>42°28'03,3''</t>
  </si>
  <si>
    <t>73°22'56,7''</t>
  </si>
  <si>
    <t>42°24'29,1''</t>
  </si>
  <si>
    <t>73°19'21,4''</t>
  </si>
  <si>
    <t>42°26'34,7''</t>
  </si>
  <si>
    <t>73°30'44,2''</t>
  </si>
  <si>
    <t>Tenaun</t>
  </si>
  <si>
    <t>42°22'46,5''</t>
  </si>
  <si>
    <t>73°35'59,1''</t>
  </si>
  <si>
    <t>42°23'07,4''</t>
  </si>
  <si>
    <t>73°37'44,8''</t>
  </si>
  <si>
    <t>42°22'15,1''</t>
  </si>
  <si>
    <t>73°37'31,1''</t>
  </si>
  <si>
    <t>42°21'39,1''</t>
  </si>
  <si>
    <t>73°34'41,7''</t>
  </si>
  <si>
    <t>42°20'26,0''</t>
  </si>
  <si>
    <t>73°32'00,9''</t>
  </si>
  <si>
    <t>Chiloe central</t>
  </si>
  <si>
    <t>42°30'46,9''</t>
  </si>
  <si>
    <t>73°45'15,6''</t>
  </si>
  <si>
    <t>42°32'59,2''</t>
  </si>
  <si>
    <t>73°40'15,8''</t>
  </si>
  <si>
    <t>42°32'09,3''</t>
  </si>
  <si>
    <t>73°36'13,2''</t>
  </si>
  <si>
    <t>42°30'29,3''</t>
  </si>
  <si>
    <t>73°36'11,3''</t>
  </si>
  <si>
    <t>42°28'33,3''</t>
  </si>
  <si>
    <t>73°32'41,1''</t>
  </si>
  <si>
    <t>42°30'59,3''</t>
  </si>
  <si>
    <t>73°28'21,5''</t>
  </si>
  <si>
    <t>42°42'13,5''</t>
  </si>
  <si>
    <t>73°37'38,2''</t>
  </si>
  <si>
    <t>42°36'54,6''</t>
  </si>
  <si>
    <t>73°27'10,2''</t>
  </si>
  <si>
    <t>Desertores</t>
  </si>
  <si>
    <t>42°47'03,0''</t>
  </si>
  <si>
    <t>72°56'35,9''</t>
  </si>
  <si>
    <t>42°47'56,1''</t>
  </si>
  <si>
    <t>72°57'23,7''</t>
  </si>
  <si>
    <t>42°45'36,0''</t>
  </si>
  <si>
    <t>72°59'51,7''</t>
  </si>
  <si>
    <t>42°42'06,5''</t>
  </si>
  <si>
    <t>73°05'34,1''</t>
  </si>
  <si>
    <t>Quellon</t>
  </si>
  <si>
    <t>43°11'43,2''</t>
  </si>
  <si>
    <t>73°38'11,2''</t>
  </si>
  <si>
    <t>43°07'39,5''</t>
  </si>
  <si>
    <t>73°43'28,6''</t>
  </si>
  <si>
    <t>43°08'32,2''</t>
  </si>
  <si>
    <t>73°40'13,7''</t>
  </si>
  <si>
    <t>43°11'33,5''</t>
  </si>
  <si>
    <t>73°34'23,8''</t>
  </si>
  <si>
    <t>43°08'26,2''</t>
  </si>
  <si>
    <t>73°33'10,7''</t>
  </si>
  <si>
    <t>43°03'07,5''</t>
  </si>
  <si>
    <t>73°27'46,7''</t>
  </si>
  <si>
    <t>43°02'06,1''</t>
  </si>
  <si>
    <t>73°31'33,1''</t>
  </si>
  <si>
    <t>42°59'21,8''</t>
  </si>
  <si>
    <t>73°28'05,5''</t>
  </si>
  <si>
    <t>42°56'21,2''</t>
  </si>
  <si>
    <t>73°36'49,9''</t>
  </si>
  <si>
    <t>42°55'25,9''</t>
  </si>
  <si>
    <t>73°35'04,7''</t>
  </si>
  <si>
    <t>42°51'22,8''</t>
  </si>
  <si>
    <t>73°41'30,9''</t>
  </si>
  <si>
    <t>42°54'15,3''</t>
  </si>
  <si>
    <t>73°29'27,9''</t>
  </si>
  <si>
    <t>Hornopiren</t>
  </si>
  <si>
    <t>42°04'27,1''</t>
  </si>
  <si>
    <t>72°27'59,7''</t>
  </si>
  <si>
    <t>42°02'09,6''</t>
  </si>
  <si>
    <t>72°35'58,5''</t>
  </si>
  <si>
    <t>42°03'01,3''</t>
  </si>
  <si>
    <t>72°35'37,3''</t>
  </si>
  <si>
    <t>42°14'33,8''</t>
  </si>
  <si>
    <t>72°26'50,7''</t>
  </si>
  <si>
    <t>42°15'24,5''</t>
  </si>
  <si>
    <t>72°23'46,8''</t>
  </si>
  <si>
    <t>Ayacara</t>
  </si>
  <si>
    <t>42°18'53,1''</t>
  </si>
  <si>
    <t>72°47'21,9''</t>
  </si>
  <si>
    <t>42°24'34,1''</t>
  </si>
  <si>
    <t>72°43'07,0''</t>
  </si>
  <si>
    <t>42°34'09,7''</t>
  </si>
  <si>
    <t>72°31'39,7''</t>
  </si>
  <si>
    <t>42°31'17,9''</t>
  </si>
  <si>
    <t>72°41'40,8''</t>
  </si>
  <si>
    <t>42°37'30,6''</t>
  </si>
  <si>
    <t>72°51'15,4''</t>
  </si>
  <si>
    <t>42°42'32,8''</t>
  </si>
  <si>
    <t>72°50'58,9''</t>
  </si>
  <si>
    <t>Chaiten</t>
  </si>
  <si>
    <t>42°47'11,1''</t>
  </si>
  <si>
    <t>72°50'49,9''</t>
  </si>
  <si>
    <t>42°55'27,6''</t>
  </si>
  <si>
    <t>72°44'59,6''</t>
  </si>
  <si>
    <t>43°14'38,9''</t>
  </si>
  <si>
    <t>72°53'08,2''</t>
  </si>
  <si>
    <t>43°15'50,9''</t>
  </si>
  <si>
    <t>72°58'35,0''</t>
  </si>
  <si>
    <t>43°35'29,8''</t>
  </si>
  <si>
    <t>73°00'22,5''</t>
  </si>
  <si>
    <t>43°37'57,9''</t>
  </si>
  <si>
    <t>72°57'04,9''</t>
  </si>
  <si>
    <t>43°41'46,5''</t>
  </si>
  <si>
    <t>72°59'44,6''</t>
  </si>
  <si>
    <t>Guaitecas</t>
  </si>
  <si>
    <t>44°29'31,1''</t>
  </si>
  <si>
    <t>74°09'42,8''</t>
  </si>
  <si>
    <t>44°14'18,4''</t>
  </si>
  <si>
    <t>74°13'20,7''</t>
  </si>
  <si>
    <t>44°08'29,0''</t>
  </si>
  <si>
    <t>74°02'09,0''</t>
  </si>
  <si>
    <t>44°04'53,4''</t>
  </si>
  <si>
    <t>73°52'53,7''</t>
  </si>
  <si>
    <t>43°54'56,5''</t>
  </si>
  <si>
    <t>73°54'32,1''</t>
  </si>
  <si>
    <t>43°53'29,1''</t>
  </si>
  <si>
    <t>73°52'19,9''</t>
  </si>
  <si>
    <t>43°56'38,0''</t>
  </si>
  <si>
    <t>73°48'00,0''</t>
  </si>
  <si>
    <t>44°00'31,4''</t>
  </si>
  <si>
    <t>73°45'11,0''</t>
  </si>
  <si>
    <t>44°17'15,5''</t>
  </si>
  <si>
    <t>73°46'39,1''</t>
  </si>
  <si>
    <t>Moraleda</t>
  </si>
  <si>
    <t>45°11'31,2''</t>
  </si>
  <si>
    <t>73°58'40,6''</t>
  </si>
  <si>
    <t>45°09'57,9''</t>
  </si>
  <si>
    <t>74°08'33,4''</t>
  </si>
  <si>
    <t>45°08'01,8''</t>
  </si>
  <si>
    <t>74°15'20,1''</t>
  </si>
  <si>
    <t>44°41'45,4''</t>
  </si>
  <si>
    <t>73°52'57,1''</t>
  </si>
  <si>
    <t>44°39'35,6''</t>
  </si>
  <si>
    <t>73°52'52,9''</t>
  </si>
  <si>
    <t>44°36'08,6''</t>
  </si>
  <si>
    <t>74°00'25,9''</t>
  </si>
  <si>
    <t>44°33'08,8''</t>
  </si>
  <si>
    <t>74°06'50,1''</t>
  </si>
  <si>
    <t>44°08'30,9''</t>
  </si>
  <si>
    <t>73°35'01,0''</t>
  </si>
  <si>
    <t>43°44'30,9''</t>
  </si>
  <si>
    <t>73°00'56,5''</t>
  </si>
  <si>
    <t>44°02'04,1''</t>
  </si>
  <si>
    <t>73°12'05,2''</t>
  </si>
  <si>
    <t>44°22'48,0''</t>
  </si>
  <si>
    <t>73°04'31,7''</t>
  </si>
  <si>
    <t>45°01'49,0''</t>
  </si>
  <si>
    <t>73°27'02,0''</t>
  </si>
  <si>
    <t>Puyuhuapi</t>
  </si>
  <si>
    <t>44°31'39,8''</t>
  </si>
  <si>
    <t>72°41'17,0''</t>
  </si>
  <si>
    <t>44°39'55,1''</t>
  </si>
  <si>
    <t>72°50'20,8''</t>
  </si>
  <si>
    <t>44°42'09,3''</t>
  </si>
  <si>
    <t>72°48'07,1''</t>
  </si>
  <si>
    <t>44°49'37,8''</t>
  </si>
  <si>
    <t>72°57'57,3''</t>
  </si>
  <si>
    <t>44°54'41,9''</t>
  </si>
  <si>
    <t>73°08'11,9''</t>
  </si>
  <si>
    <t>Aysen</t>
  </si>
  <si>
    <t>45°26'39,7''</t>
  </si>
  <si>
    <t>73°00'33,3''</t>
  </si>
  <si>
    <t>45°19'53,0''</t>
  </si>
  <si>
    <t>73°22'36,0''</t>
  </si>
  <si>
    <t>45°24'21,9''</t>
  </si>
  <si>
    <t>73°32'25,0''</t>
  </si>
  <si>
    <t>45°37'34,9''</t>
  </si>
  <si>
    <t>73°35'50,9''</t>
  </si>
  <si>
    <t>45°45'08,5''</t>
  </si>
  <si>
    <t>73°36'55,3''</t>
  </si>
  <si>
    <t>45°57'17,6''</t>
  </si>
  <si>
    <t>73°36'19,7''</t>
  </si>
  <si>
    <t>46°01'34,6''</t>
  </si>
  <si>
    <t>73°39'17,0''</t>
  </si>
  <si>
    <t>46°13'29,4''</t>
  </si>
  <si>
    <t>73°43'45,5''</t>
  </si>
  <si>
    <t>46°05'57,7''</t>
  </si>
  <si>
    <t>73°52'02,9''</t>
  </si>
  <si>
    <t>46°01'07,9''</t>
  </si>
  <si>
    <t>73°56'45,7''</t>
  </si>
  <si>
    <t>45°44'29,7''</t>
  </si>
  <si>
    <t>74°04'23,3''</t>
  </si>
  <si>
    <t>45°41'37,5''</t>
  </si>
  <si>
    <t>74°17'04,6''</t>
  </si>
  <si>
    <t>45°33'51,4''</t>
  </si>
  <si>
    <t>74°13'10,2''</t>
  </si>
  <si>
    <t>45°23'56,0''</t>
  </si>
  <si>
    <t>74°15'21,0''</t>
  </si>
  <si>
    <t>45°16'59,5''</t>
  </si>
  <si>
    <t>73°43'50,5''</t>
  </si>
  <si>
    <t>Natales</t>
  </si>
  <si>
    <t>51°36'04,7''</t>
  </si>
  <si>
    <t>72°43'01,6''</t>
  </si>
  <si>
    <t>51°40'18,2''</t>
  </si>
  <si>
    <t>72°37'53,1''</t>
  </si>
  <si>
    <t>51°49'29,7''</t>
  </si>
  <si>
    <t>72°37'39,8''</t>
  </si>
  <si>
    <t>51°46'01,6''</t>
  </si>
  <si>
    <t>72°54'05,0''</t>
  </si>
  <si>
    <t>52°03'57,8''</t>
  </si>
  <si>
    <t>72°56'02,0''</t>
  </si>
  <si>
    <t>52°11'59,7''</t>
  </si>
  <si>
    <t>72°57'03,6''</t>
  </si>
  <si>
    <t>52°13'10,4''</t>
  </si>
  <si>
    <t>72°52'26,1''</t>
  </si>
  <si>
    <t>52°04'39,3''</t>
  </si>
  <si>
    <t>72°39'37,6''</t>
  </si>
  <si>
    <t>Un total de 140 estaciones divididas en 18 zonas a lo largo del país desde la Región de Lo Lagos hasta la Región de Magallanes</t>
  </si>
  <si>
    <t xml:space="preserve"> Región de Los Lagos, Región de Aysen del General Carlos Ibañez del Campo, Región de Magallanes.</t>
  </si>
  <si>
    <t>sd</t>
  </si>
  <si>
    <t xml:space="preserve"> Seno Reloncaví, Estuario de Reloncavi, Calbuco, Chacao, Butachauques, Chaulinec, Tenaún; Chiloe Central, Desertores, Quellon, Hornopiren, Ayacara, Chaiten, Guaitecas, Moraleda, Puyuhuapi, Aysen, Puerto Natales.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</si>
</sst>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\(0.00\)"/>
  </numFmts>
  <fonts count="11" x14ac:knownFonts="1">
    <font>
      <sz val="11"/>
      <color theme="1"/>
      <name val="Calibri"/>
      <family val="2"/>
      <scheme val="minor"/>
    </font>
    <font>
      <b/>
      <i/>
      <sz val="10"/>
      <color rgb="FF0070C0"/>
      <name val="Arial Narrow"/>
      <family val="2"/>
    </font>
    <font>
      <b/>
      <sz val="10"/>
      <color rgb="FF0070C0"/>
      <name val="Arial Narrow"/>
      <family val="2"/>
    </font>
    <font>
      <sz val="10"/>
      <name val="Arial Narrow"/>
      <family val="2"/>
    </font>
    <font>
      <b/>
      <i/>
      <sz val="10"/>
      <color theme="1"/>
      <name val="Arial Narrow"/>
      <family val="2"/>
    </font>
    <font>
      <b/>
      <sz val="11"/>
      <name val="Arial Narrow"/>
      <family val="2"/>
    </font>
    <font>
      <b/>
      <sz val="10"/>
      <name val="Arial Narrow"/>
      <family val="2"/>
    </font>
    <font>
      <b/>
      <sz val="11"/>
      <color rgb="FF00B050"/>
      <name val="Calibri"/>
      <family val="2"/>
      <scheme val="minor"/>
    </font>
    <font>
      <sz val="10"/>
      <color rgb="FF0070C0"/>
      <name val="Arial Narrow"/>
      <family val="2"/>
    </font>
    <font>
      <b/>
      <sz val="10"/>
      <color rgb="FF00B050"/>
      <name val="Arial Narrow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3" fillId="0" borderId="0" xfId="0" applyFont="1" applyFill="1" applyBorder="1"/>
    <xf numFmtId="0" fontId="4" fillId="0" borderId="0" xfId="0" applyFont="1" applyFill="1"/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2" fontId="5" fillId="0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/>
    </xf>
    <xf numFmtId="20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20" fontId="10" fillId="0" borderId="0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165" fontId="3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7"/>
  <sheetViews>
    <sheetView tabSelected="1" topLeftCell="A2" workbookViewId="0">
      <selection activeCell="B14" sqref="B14"/>
    </sheetView>
  </sheetViews>
  <sheetFormatPr baseColWidth="10" defaultColWidth="8.7265625" defaultRowHeight="14.5" x14ac:dyDescent="0.35"/>
  <cols>
    <col min="1" max="1" width="13.81640625" customWidth="1"/>
    <col min="2" max="2" width="29" customWidth="1"/>
    <col min="3" max="3" width="12.7265625" customWidth="1"/>
    <col min="4" max="4" width="29" customWidth="1"/>
    <col min="11" max="11" width="8.7265625" style="22"/>
    <col min="12" max="12" width="13.36328125" customWidth="1"/>
    <col min="13" max="13" width="8.7265625" style="22"/>
    <col min="14" max="14" width="10.81640625" customWidth="1"/>
    <col min="15" max="15" width="8.7265625" style="22"/>
    <col min="16" max="16" width="11.453125" customWidth="1"/>
    <col min="17" max="17" width="8.7265625" style="22"/>
    <col min="18" max="18" width="20.81640625" bestFit="1" customWidth="1"/>
    <col min="19" max="19" width="10.90625" customWidth="1"/>
  </cols>
  <sheetData>
    <row r="1" spans="1:21" x14ac:dyDescent="0.35">
      <c r="A1" s="1" t="s">
        <v>0</v>
      </c>
      <c r="B1" s="2" t="s">
        <v>35</v>
      </c>
    </row>
    <row r="2" spans="1:21" x14ac:dyDescent="0.35">
      <c r="A2" s="1" t="s">
        <v>1</v>
      </c>
      <c r="B2" s="3" t="s">
        <v>2</v>
      </c>
    </row>
    <row r="3" spans="1:21" x14ac:dyDescent="0.35">
      <c r="A3" s="1" t="s">
        <v>3</v>
      </c>
      <c r="B3" s="3" t="s">
        <v>4</v>
      </c>
    </row>
    <row r="4" spans="1:21" x14ac:dyDescent="0.35">
      <c r="A4" s="1" t="s">
        <v>5</v>
      </c>
      <c r="B4" s="3" t="s">
        <v>6</v>
      </c>
    </row>
    <row r="5" spans="1:21" x14ac:dyDescent="0.35">
      <c r="A5" s="1" t="s">
        <v>7</v>
      </c>
      <c r="B5" s="2" t="s">
        <v>337</v>
      </c>
    </row>
    <row r="6" spans="1:21" x14ac:dyDescent="0.35">
      <c r="A6" s="1" t="s">
        <v>8</v>
      </c>
      <c r="B6" s="2" t="s">
        <v>335</v>
      </c>
    </row>
    <row r="7" spans="1:21" x14ac:dyDescent="0.35">
      <c r="A7" s="1" t="s">
        <v>9</v>
      </c>
      <c r="B7" s="2" t="s">
        <v>10</v>
      </c>
    </row>
    <row r="8" spans="1:21" x14ac:dyDescent="0.35">
      <c r="A8" s="1" t="s">
        <v>11</v>
      </c>
      <c r="B8" s="4">
        <v>2022</v>
      </c>
    </row>
    <row r="9" spans="1:21" x14ac:dyDescent="0.35">
      <c r="A9" s="1" t="s">
        <v>12</v>
      </c>
      <c r="B9" s="2" t="s">
        <v>13</v>
      </c>
    </row>
    <row r="10" spans="1:21" x14ac:dyDescent="0.35">
      <c r="A10" s="5"/>
      <c r="B10" s="2" t="s">
        <v>14</v>
      </c>
    </row>
    <row r="11" spans="1:21" x14ac:dyDescent="0.35">
      <c r="A11" s="6"/>
      <c r="B11" s="2" t="s">
        <v>15</v>
      </c>
    </row>
    <row r="12" spans="1:21" x14ac:dyDescent="0.35">
      <c r="A12" s="1" t="s">
        <v>16</v>
      </c>
      <c r="B12" s="2" t="s">
        <v>334</v>
      </c>
    </row>
    <row r="16" spans="1:21" ht="28" x14ac:dyDescent="0.35">
      <c r="A16" s="7" t="s">
        <v>17</v>
      </c>
      <c r="B16" s="7" t="s">
        <v>18</v>
      </c>
      <c r="C16" s="7" t="s">
        <v>19</v>
      </c>
      <c r="D16" s="7" t="s">
        <v>20</v>
      </c>
      <c r="E16" s="7" t="s">
        <v>21</v>
      </c>
      <c r="F16" s="7" t="s">
        <v>22</v>
      </c>
      <c r="G16" s="7" t="s">
        <v>23</v>
      </c>
      <c r="H16" s="8" t="s">
        <v>24</v>
      </c>
      <c r="I16" s="8" t="s">
        <v>25</v>
      </c>
      <c r="J16" s="7" t="s">
        <v>26</v>
      </c>
      <c r="K16" s="23" t="s">
        <v>27</v>
      </c>
      <c r="L16" s="9" t="s">
        <v>28</v>
      </c>
      <c r="M16" s="23" t="s">
        <v>27</v>
      </c>
      <c r="N16" s="9" t="s">
        <v>29</v>
      </c>
      <c r="O16" s="23" t="s">
        <v>27</v>
      </c>
      <c r="P16" s="9" t="s">
        <v>30</v>
      </c>
      <c r="Q16" s="23" t="s">
        <v>27</v>
      </c>
      <c r="R16" s="9" t="s">
        <v>31</v>
      </c>
      <c r="S16" s="10" t="s">
        <v>32</v>
      </c>
      <c r="T16" s="11" t="s">
        <v>33</v>
      </c>
      <c r="U16" s="12" t="s">
        <v>34</v>
      </c>
    </row>
    <row r="17" spans="1:21" x14ac:dyDescent="0.35">
      <c r="A17" t="str">
        <f>$B$1</f>
        <v>ESTUDIO SEGUIMIENTO DESEMPEÑO AMBIENTAL ACUICULTURA EN CHILE Y SU EFECTO EN LOS ECOSISTEMAS DE EMPLAZAMIENTO 2022-2023</v>
      </c>
      <c r="B17" t="str">
        <f>$B$2</f>
        <v>Objetivo 1. Actividad 2. Muestreos y Analisis sedimentos</v>
      </c>
      <c r="C17" t="str">
        <f>$B$3</f>
        <v>Gastón Vidal</v>
      </c>
      <c r="D17" t="str">
        <f>$B$4</f>
        <v>INSTITUTO DE FOMENTO PESQUERO</v>
      </c>
      <c r="E17" s="14" t="s">
        <v>36</v>
      </c>
      <c r="F17" s="15" t="s">
        <v>37</v>
      </c>
      <c r="G17" s="16">
        <v>1</v>
      </c>
      <c r="H17" s="17" t="s">
        <v>38</v>
      </c>
      <c r="I17" s="17" t="s">
        <v>39</v>
      </c>
      <c r="J17" s="19">
        <v>7.3066666666666675</v>
      </c>
      <c r="K17" s="24">
        <v>0.12662279942148388</v>
      </c>
      <c r="L17" s="19">
        <v>11.266666666666666</v>
      </c>
      <c r="M17" s="24">
        <v>5.77350269189634E-2</v>
      </c>
      <c r="N17" s="19">
        <v>324.26666666666665</v>
      </c>
      <c r="O17" s="24">
        <v>13.676378662984332</v>
      </c>
      <c r="P17" s="19">
        <v>3.2133236106109777</v>
      </c>
      <c r="Q17" s="24">
        <v>1.6763610106384943</v>
      </c>
      <c r="R17" s="19">
        <v>3.131656757701955</v>
      </c>
      <c r="S17" s="20">
        <v>44861</v>
      </c>
      <c r="T17" s="21">
        <v>0.61597222222222225</v>
      </c>
      <c r="U17" s="13">
        <f>G17</f>
        <v>1</v>
      </c>
    </row>
    <row r="18" spans="1:21" x14ac:dyDescent="0.35">
      <c r="A18" t="str">
        <f t="shared" ref="A18:A81" si="0">$B$1</f>
        <v>ESTUDIO SEGUIMIENTO DESEMPEÑO AMBIENTAL ACUICULTURA EN CHILE Y SU EFECTO EN LOS ECOSISTEMAS DE EMPLAZAMIENTO 2022-2023</v>
      </c>
      <c r="B18" t="str">
        <f t="shared" ref="B18:B81" si="1">$B$2</f>
        <v>Objetivo 1. Actividad 2. Muestreos y Analisis sedimentos</v>
      </c>
      <c r="C18" t="str">
        <f t="shared" ref="C18:C81" si="2">$B$3</f>
        <v>Gastón Vidal</v>
      </c>
      <c r="D18" t="str">
        <f t="shared" ref="D18:D81" si="3">$B$4</f>
        <v>INSTITUTO DE FOMENTO PESQUERO</v>
      </c>
      <c r="E18" s="14" t="s">
        <v>36</v>
      </c>
      <c r="F18" s="15" t="s">
        <v>37</v>
      </c>
      <c r="G18" s="16">
        <v>2</v>
      </c>
      <c r="H18" s="17" t="s">
        <v>40</v>
      </c>
      <c r="I18" s="17" t="s">
        <v>41</v>
      </c>
      <c r="J18" s="19">
        <v>7.2050000000000001</v>
      </c>
      <c r="K18" s="24">
        <v>4.9497474683058526E-2</v>
      </c>
      <c r="L18" s="19">
        <v>11.300000000000002</v>
      </c>
      <c r="M18" s="24">
        <v>0.10000000000000053</v>
      </c>
      <c r="N18" s="19">
        <v>154.66666666666666</v>
      </c>
      <c r="O18" s="24">
        <v>52.321920199217992</v>
      </c>
      <c r="P18" s="19">
        <v>8.4556795006163448</v>
      </c>
      <c r="Q18" s="24">
        <v>4.1704690359662333</v>
      </c>
      <c r="R18" s="19">
        <v>3.6041619713019366</v>
      </c>
      <c r="S18" s="20">
        <v>44861</v>
      </c>
      <c r="T18" s="21">
        <v>0.59722222222222221</v>
      </c>
      <c r="U18" s="13">
        <f t="shared" ref="U18:U81" si="4">G18</f>
        <v>2</v>
      </c>
    </row>
    <row r="19" spans="1:21" x14ac:dyDescent="0.35">
      <c r="A19" t="str">
        <f t="shared" si="0"/>
        <v>ESTUDIO SEGUIMIENTO DESEMPEÑO AMBIENTAL ACUICULTURA EN CHILE Y SU EFECTO EN LOS ECOSISTEMAS DE EMPLAZAMIENTO 2022-2023</v>
      </c>
      <c r="B19" t="str">
        <f t="shared" si="1"/>
        <v>Objetivo 1. Actividad 2. Muestreos y Analisis sedimentos</v>
      </c>
      <c r="C19" t="str">
        <f t="shared" si="2"/>
        <v>Gastón Vidal</v>
      </c>
      <c r="D19" t="str">
        <f t="shared" si="3"/>
        <v>INSTITUTO DE FOMENTO PESQUERO</v>
      </c>
      <c r="E19" s="14" t="s">
        <v>36</v>
      </c>
      <c r="F19" s="15" t="s">
        <v>37</v>
      </c>
      <c r="G19" s="16">
        <v>3</v>
      </c>
      <c r="H19" s="17" t="s">
        <v>42</v>
      </c>
      <c r="I19" s="17" t="s">
        <v>43</v>
      </c>
      <c r="J19" s="19">
        <v>7.246666666666667</v>
      </c>
      <c r="K19" s="24">
        <v>3.2145502536643007E-2</v>
      </c>
      <c r="L19" s="19">
        <v>11.300000000000002</v>
      </c>
      <c r="M19" s="24">
        <v>0.10000000000000053</v>
      </c>
      <c r="N19" s="19">
        <v>341.09999999999997</v>
      </c>
      <c r="O19" s="24">
        <v>17.94240786516681</v>
      </c>
      <c r="P19" s="19">
        <v>51.114586313367568</v>
      </c>
      <c r="Q19" s="24">
        <v>88.05913926938851</v>
      </c>
      <c r="R19" s="19">
        <v>2.3919508953995976</v>
      </c>
      <c r="S19" s="20">
        <v>44861</v>
      </c>
      <c r="T19" s="21">
        <v>0.57777777777777772</v>
      </c>
      <c r="U19" s="13">
        <f t="shared" si="4"/>
        <v>3</v>
      </c>
    </row>
    <row r="20" spans="1:21" x14ac:dyDescent="0.35">
      <c r="A20" t="str">
        <f t="shared" si="0"/>
        <v>ESTUDIO SEGUIMIENTO DESEMPEÑO AMBIENTAL ACUICULTURA EN CHILE Y SU EFECTO EN LOS ECOSISTEMAS DE EMPLAZAMIENTO 2022-2023</v>
      </c>
      <c r="B20" t="str">
        <f t="shared" si="1"/>
        <v>Objetivo 1. Actividad 2. Muestreos y Analisis sedimentos</v>
      </c>
      <c r="C20" t="str">
        <f t="shared" si="2"/>
        <v>Gastón Vidal</v>
      </c>
      <c r="D20" t="str">
        <f t="shared" si="3"/>
        <v>INSTITUTO DE FOMENTO PESQUERO</v>
      </c>
      <c r="E20" s="14" t="s">
        <v>36</v>
      </c>
      <c r="F20" s="15" t="s">
        <v>37</v>
      </c>
      <c r="G20" s="16">
        <v>5</v>
      </c>
      <c r="H20" s="17" t="s">
        <v>44</v>
      </c>
      <c r="I20" s="17" t="s">
        <v>45</v>
      </c>
      <c r="J20" s="19">
        <v>7.5633333333333326</v>
      </c>
      <c r="K20" s="24">
        <v>0.15947831618540945</v>
      </c>
      <c r="L20" s="19">
        <v>12.166666666666666</v>
      </c>
      <c r="M20" s="24">
        <v>0.15275252316519491</v>
      </c>
      <c r="N20" s="19">
        <v>311.36666666666673</v>
      </c>
      <c r="O20" s="24">
        <v>15.46425987020824</v>
      </c>
      <c r="P20" s="19" t="s">
        <v>336</v>
      </c>
      <c r="Q20" s="24"/>
      <c r="R20" s="19">
        <v>1.1997767857143278</v>
      </c>
      <c r="S20" s="20">
        <v>44861</v>
      </c>
      <c r="T20" s="21">
        <v>0.56597222222222221</v>
      </c>
      <c r="U20" s="13">
        <f t="shared" si="4"/>
        <v>5</v>
      </c>
    </row>
    <row r="21" spans="1:21" x14ac:dyDescent="0.35">
      <c r="A21" t="str">
        <f t="shared" si="0"/>
        <v>ESTUDIO SEGUIMIENTO DESEMPEÑO AMBIENTAL ACUICULTURA EN CHILE Y SU EFECTO EN LOS ECOSISTEMAS DE EMPLAZAMIENTO 2022-2023</v>
      </c>
      <c r="B21" t="str">
        <f t="shared" si="1"/>
        <v>Objetivo 1. Actividad 2. Muestreos y Analisis sedimentos</v>
      </c>
      <c r="C21" t="str">
        <f t="shared" si="2"/>
        <v>Gastón Vidal</v>
      </c>
      <c r="D21" t="str">
        <f t="shared" si="3"/>
        <v>INSTITUTO DE FOMENTO PESQUERO</v>
      </c>
      <c r="E21" s="14" t="s">
        <v>36</v>
      </c>
      <c r="F21" s="15" t="s">
        <v>37</v>
      </c>
      <c r="G21" s="16">
        <v>6</v>
      </c>
      <c r="H21" s="17" t="s">
        <v>46</v>
      </c>
      <c r="I21" s="17" t="s">
        <v>47</v>
      </c>
      <c r="J21" s="19">
        <v>7.5066666666666668</v>
      </c>
      <c r="K21" s="24">
        <v>3.055050463303877E-2</v>
      </c>
      <c r="L21" s="19">
        <v>11.233333333333334</v>
      </c>
      <c r="M21" s="24">
        <v>0.23094010767585052</v>
      </c>
      <c r="N21" s="19">
        <v>176.26666666666665</v>
      </c>
      <c r="O21" s="24">
        <v>41.78807644930955</v>
      </c>
      <c r="P21" s="19" t="s">
        <v>336</v>
      </c>
      <c r="Q21" s="24"/>
      <c r="R21" s="19">
        <v>1.7822251169400212</v>
      </c>
      <c r="S21" s="20">
        <v>44861</v>
      </c>
      <c r="T21" s="21">
        <v>0.48819444444444443</v>
      </c>
      <c r="U21" s="13">
        <f t="shared" si="4"/>
        <v>6</v>
      </c>
    </row>
    <row r="22" spans="1:21" x14ac:dyDescent="0.35">
      <c r="A22" t="str">
        <f t="shared" si="0"/>
        <v>ESTUDIO SEGUIMIENTO DESEMPEÑO AMBIENTAL ACUICULTURA EN CHILE Y SU EFECTO EN LOS ECOSISTEMAS DE EMPLAZAMIENTO 2022-2023</v>
      </c>
      <c r="B22" t="str">
        <f t="shared" si="1"/>
        <v>Objetivo 1. Actividad 2. Muestreos y Analisis sedimentos</v>
      </c>
      <c r="C22" t="str">
        <f t="shared" si="2"/>
        <v>Gastón Vidal</v>
      </c>
      <c r="D22" t="str">
        <f t="shared" si="3"/>
        <v>INSTITUTO DE FOMENTO PESQUERO</v>
      </c>
      <c r="E22" s="14" t="s">
        <v>36</v>
      </c>
      <c r="F22" s="15" t="s">
        <v>37</v>
      </c>
      <c r="G22" s="16">
        <v>7</v>
      </c>
      <c r="H22" s="17" t="s">
        <v>48</v>
      </c>
      <c r="I22" s="17" t="s">
        <v>49</v>
      </c>
      <c r="J22" s="19">
        <v>7.5</v>
      </c>
      <c r="K22" s="24">
        <v>6.0827625302982434E-2</v>
      </c>
      <c r="L22" s="19">
        <v>11.333333333333334</v>
      </c>
      <c r="M22" s="24">
        <v>0.32145502536643167</v>
      </c>
      <c r="N22" s="19">
        <v>114.06666666666666</v>
      </c>
      <c r="O22" s="24">
        <v>13.724552208845765</v>
      </c>
      <c r="P22" s="19" t="s">
        <v>336</v>
      </c>
      <c r="Q22" s="24"/>
      <c r="R22" s="19">
        <v>3.9592163270864433</v>
      </c>
      <c r="S22" s="20">
        <v>44861</v>
      </c>
      <c r="T22" s="21">
        <v>0.57777777777777772</v>
      </c>
      <c r="U22" s="13">
        <f t="shared" si="4"/>
        <v>7</v>
      </c>
    </row>
    <row r="23" spans="1:21" x14ac:dyDescent="0.35">
      <c r="A23" t="str">
        <f t="shared" si="0"/>
        <v>ESTUDIO SEGUIMIENTO DESEMPEÑO AMBIENTAL ACUICULTURA EN CHILE Y SU EFECTO EN LOS ECOSISTEMAS DE EMPLAZAMIENTO 2022-2023</v>
      </c>
      <c r="B23" t="str">
        <f t="shared" si="1"/>
        <v>Objetivo 1. Actividad 2. Muestreos y Analisis sedimentos</v>
      </c>
      <c r="C23" t="str">
        <f t="shared" si="2"/>
        <v>Gastón Vidal</v>
      </c>
      <c r="D23" t="str">
        <f t="shared" si="3"/>
        <v>INSTITUTO DE FOMENTO PESQUERO</v>
      </c>
      <c r="E23" s="14" t="s">
        <v>36</v>
      </c>
      <c r="F23" s="15" t="s">
        <v>37</v>
      </c>
      <c r="G23" s="16">
        <v>8</v>
      </c>
      <c r="H23" s="17" t="s">
        <v>50</v>
      </c>
      <c r="I23" s="17" t="s">
        <v>51</v>
      </c>
      <c r="J23" s="19">
        <v>7.29</v>
      </c>
      <c r="K23" s="24">
        <v>0.12767145334803703</v>
      </c>
      <c r="L23" s="19">
        <v>11.1</v>
      </c>
      <c r="M23" s="24">
        <v>9.9999999999999645E-2</v>
      </c>
      <c r="N23" s="19">
        <v>128.66666666666666</v>
      </c>
      <c r="O23" s="24">
        <v>46.353245121925745</v>
      </c>
      <c r="P23" s="19">
        <v>6.7313527689367101</v>
      </c>
      <c r="Q23" s="24">
        <v>3.2496043001071881</v>
      </c>
      <c r="R23" s="19">
        <v>5.504705983939191</v>
      </c>
      <c r="S23" s="20">
        <v>44861</v>
      </c>
      <c r="T23" s="21">
        <v>0.44861111111111113</v>
      </c>
      <c r="U23" s="13">
        <f t="shared" si="4"/>
        <v>8</v>
      </c>
    </row>
    <row r="24" spans="1:21" x14ac:dyDescent="0.35">
      <c r="A24" t="str">
        <f t="shared" si="0"/>
        <v>ESTUDIO SEGUIMIENTO DESEMPEÑO AMBIENTAL ACUICULTURA EN CHILE Y SU EFECTO EN LOS ECOSISTEMAS DE EMPLAZAMIENTO 2022-2023</v>
      </c>
      <c r="B24" t="str">
        <f t="shared" si="1"/>
        <v>Objetivo 1. Actividad 2. Muestreos y Analisis sedimentos</v>
      </c>
      <c r="C24" t="str">
        <f t="shared" si="2"/>
        <v>Gastón Vidal</v>
      </c>
      <c r="D24" t="str">
        <f t="shared" si="3"/>
        <v>INSTITUTO DE FOMENTO PESQUERO</v>
      </c>
      <c r="E24" s="14" t="s">
        <v>36</v>
      </c>
      <c r="F24" s="15" t="s">
        <v>37</v>
      </c>
      <c r="G24" s="16">
        <v>12</v>
      </c>
      <c r="H24" s="17" t="s">
        <v>52</v>
      </c>
      <c r="I24" s="17" t="s">
        <v>53</v>
      </c>
      <c r="J24" s="19">
        <v>7.293333333333333</v>
      </c>
      <c r="K24" s="24">
        <v>8.3864970836060579E-2</v>
      </c>
      <c r="L24" s="19">
        <v>11.033333333333333</v>
      </c>
      <c r="M24" s="24">
        <v>0.15275252316519414</v>
      </c>
      <c r="N24" s="19">
        <v>294.8</v>
      </c>
      <c r="O24" s="24">
        <v>54.846239615856724</v>
      </c>
      <c r="P24" s="19">
        <v>7.5659038366775055</v>
      </c>
      <c r="Q24" s="24">
        <v>1.6617479306021901</v>
      </c>
      <c r="R24" s="19">
        <v>1.8737533179412129</v>
      </c>
      <c r="S24" s="20">
        <v>44861</v>
      </c>
      <c r="T24" s="21">
        <v>0.4201388888888889</v>
      </c>
      <c r="U24" s="13">
        <f t="shared" si="4"/>
        <v>12</v>
      </c>
    </row>
    <row r="25" spans="1:21" x14ac:dyDescent="0.35">
      <c r="A25" t="str">
        <f t="shared" si="0"/>
        <v>ESTUDIO SEGUIMIENTO DESEMPEÑO AMBIENTAL ACUICULTURA EN CHILE Y SU EFECTO EN LOS ECOSISTEMAS DE EMPLAZAMIENTO 2022-2023</v>
      </c>
      <c r="B25" t="str">
        <f t="shared" si="1"/>
        <v>Objetivo 1. Actividad 2. Muestreos y Analisis sedimentos</v>
      </c>
      <c r="C25" t="str">
        <f t="shared" si="2"/>
        <v>Gastón Vidal</v>
      </c>
      <c r="D25" t="str">
        <f t="shared" si="3"/>
        <v>INSTITUTO DE FOMENTO PESQUERO</v>
      </c>
      <c r="E25" s="14" t="s">
        <v>36</v>
      </c>
      <c r="F25" s="15" t="s">
        <v>37</v>
      </c>
      <c r="G25" s="16">
        <v>17</v>
      </c>
      <c r="H25" s="17" t="s">
        <v>54</v>
      </c>
      <c r="I25" s="17" t="s">
        <v>55</v>
      </c>
      <c r="J25" s="19">
        <v>8.2166666666666668</v>
      </c>
      <c r="K25" s="24">
        <v>0.17387735140993302</v>
      </c>
      <c r="L25" s="19">
        <v>11.6</v>
      </c>
      <c r="M25" s="24">
        <v>0.26457513110645914</v>
      </c>
      <c r="N25" s="19">
        <v>501.76666666666671</v>
      </c>
      <c r="O25" s="24">
        <v>2.4878439927471668E-2</v>
      </c>
      <c r="P25" s="19" t="s">
        <v>336</v>
      </c>
      <c r="Q25" s="24">
        <v>0</v>
      </c>
      <c r="R25" s="19">
        <v>1.7123675712424073</v>
      </c>
      <c r="S25" s="20">
        <v>44861</v>
      </c>
      <c r="T25" s="21">
        <v>0.38194444444444442</v>
      </c>
      <c r="U25" s="13">
        <f t="shared" si="4"/>
        <v>17</v>
      </c>
    </row>
    <row r="26" spans="1:21" x14ac:dyDescent="0.35">
      <c r="A26" t="str">
        <f t="shared" si="0"/>
        <v>ESTUDIO SEGUIMIENTO DESEMPEÑO AMBIENTAL ACUICULTURA EN CHILE Y SU EFECTO EN LOS ECOSISTEMAS DE EMPLAZAMIENTO 2022-2023</v>
      </c>
      <c r="B26" t="str">
        <f t="shared" si="1"/>
        <v>Objetivo 1. Actividad 2. Muestreos y Analisis sedimentos</v>
      </c>
      <c r="C26" t="str">
        <f t="shared" si="2"/>
        <v>Gastón Vidal</v>
      </c>
      <c r="D26" t="str">
        <f t="shared" si="3"/>
        <v>INSTITUTO DE FOMENTO PESQUERO</v>
      </c>
      <c r="E26" s="14" t="s">
        <v>36</v>
      </c>
      <c r="F26" s="15" t="s">
        <v>37</v>
      </c>
      <c r="G26" s="16">
        <v>21</v>
      </c>
      <c r="H26" s="17" t="s">
        <v>56</v>
      </c>
      <c r="I26" s="17" t="s">
        <v>57</v>
      </c>
      <c r="J26" s="19">
        <v>7.3599999999999994</v>
      </c>
      <c r="K26" s="24">
        <v>6.2449979983984001E-2</v>
      </c>
      <c r="L26" s="19">
        <v>11.233333333333334</v>
      </c>
      <c r="M26" s="24">
        <v>0.41633319989322604</v>
      </c>
      <c r="N26" s="19">
        <v>294.59999999999997</v>
      </c>
      <c r="O26" s="24">
        <v>0.67920386948537992</v>
      </c>
      <c r="P26" s="19">
        <v>10.273004171322393</v>
      </c>
      <c r="Q26" s="24">
        <v>7.5039272509776245</v>
      </c>
      <c r="R26" s="19">
        <v>2.7175161639699579</v>
      </c>
      <c r="S26" s="20">
        <v>44861</v>
      </c>
      <c r="T26" s="21">
        <v>0.34652777777777777</v>
      </c>
      <c r="U26" s="13">
        <f t="shared" si="4"/>
        <v>21</v>
      </c>
    </row>
    <row r="27" spans="1:21" x14ac:dyDescent="0.35">
      <c r="A27" t="str">
        <f t="shared" si="0"/>
        <v>ESTUDIO SEGUIMIENTO DESEMPEÑO AMBIENTAL ACUICULTURA EN CHILE Y SU EFECTO EN LOS ECOSISTEMAS DE EMPLAZAMIENTO 2022-2023</v>
      </c>
      <c r="B27" t="str">
        <f t="shared" si="1"/>
        <v>Objetivo 1. Actividad 2. Muestreos y Analisis sedimentos</v>
      </c>
      <c r="C27" t="str">
        <f t="shared" si="2"/>
        <v>Gastón Vidal</v>
      </c>
      <c r="D27" t="str">
        <f t="shared" si="3"/>
        <v>INSTITUTO DE FOMENTO PESQUERO</v>
      </c>
      <c r="E27" s="14" t="s">
        <v>36</v>
      </c>
      <c r="F27" s="15" t="s">
        <v>58</v>
      </c>
      <c r="G27" s="16">
        <v>3</v>
      </c>
      <c r="H27" s="17" t="s">
        <v>59</v>
      </c>
      <c r="I27" s="17" t="s">
        <v>60</v>
      </c>
      <c r="J27" s="19" t="s">
        <v>336</v>
      </c>
      <c r="K27" s="24" t="s">
        <v>336</v>
      </c>
      <c r="L27" s="19" t="s">
        <v>336</v>
      </c>
      <c r="M27" s="24" t="s">
        <v>336</v>
      </c>
      <c r="N27" s="19" t="s">
        <v>336</v>
      </c>
      <c r="O27" s="24" t="s">
        <v>336</v>
      </c>
      <c r="P27" s="19" t="s">
        <v>336</v>
      </c>
      <c r="Q27" s="24" t="s">
        <v>336</v>
      </c>
      <c r="R27" s="19" t="s">
        <v>336</v>
      </c>
      <c r="S27" s="20" t="s">
        <v>336</v>
      </c>
      <c r="T27" s="21" t="s">
        <v>336</v>
      </c>
      <c r="U27" s="13">
        <f t="shared" si="4"/>
        <v>3</v>
      </c>
    </row>
    <row r="28" spans="1:21" x14ac:dyDescent="0.35">
      <c r="A28" t="str">
        <f t="shared" si="0"/>
        <v>ESTUDIO SEGUIMIENTO DESEMPEÑO AMBIENTAL ACUICULTURA EN CHILE Y SU EFECTO EN LOS ECOSISTEMAS DE EMPLAZAMIENTO 2022-2023</v>
      </c>
      <c r="B28" t="str">
        <f t="shared" si="1"/>
        <v>Objetivo 1. Actividad 2. Muestreos y Analisis sedimentos</v>
      </c>
      <c r="C28" t="str">
        <f t="shared" si="2"/>
        <v>Gastón Vidal</v>
      </c>
      <c r="D28" t="str">
        <f t="shared" si="3"/>
        <v>INSTITUTO DE FOMENTO PESQUERO</v>
      </c>
      <c r="E28" s="14" t="s">
        <v>36</v>
      </c>
      <c r="F28" s="15" t="s">
        <v>58</v>
      </c>
      <c r="G28" s="16">
        <v>4</v>
      </c>
      <c r="H28" s="17" t="s">
        <v>61</v>
      </c>
      <c r="I28" s="17" t="s">
        <v>62</v>
      </c>
      <c r="J28" s="19">
        <v>7.8933333333333335</v>
      </c>
      <c r="K28" s="24">
        <v>4.0414518843273899E-2</v>
      </c>
      <c r="L28" s="19">
        <v>12.266666666666666</v>
      </c>
      <c r="M28" s="24">
        <v>0.15275252316519508</v>
      </c>
      <c r="N28" s="19">
        <v>480.76666666666671</v>
      </c>
      <c r="O28" s="24">
        <v>7.5221893975978391</v>
      </c>
      <c r="P28" s="19" t="s">
        <v>336</v>
      </c>
      <c r="Q28" s="24">
        <v>0</v>
      </c>
      <c r="R28" s="19">
        <v>1.2271000000000001</v>
      </c>
      <c r="S28" s="20">
        <v>44858</v>
      </c>
      <c r="T28" s="21">
        <v>0.55486111111111114</v>
      </c>
      <c r="U28" s="13">
        <f t="shared" si="4"/>
        <v>4</v>
      </c>
    </row>
    <row r="29" spans="1:21" x14ac:dyDescent="0.35">
      <c r="A29" t="str">
        <f t="shared" si="0"/>
        <v>ESTUDIO SEGUIMIENTO DESEMPEÑO AMBIENTAL ACUICULTURA EN CHILE Y SU EFECTO EN LOS ECOSISTEMAS DE EMPLAZAMIENTO 2022-2023</v>
      </c>
      <c r="B29" t="str">
        <f t="shared" si="1"/>
        <v>Objetivo 1. Actividad 2. Muestreos y Analisis sedimentos</v>
      </c>
      <c r="C29" t="str">
        <f t="shared" si="2"/>
        <v>Gastón Vidal</v>
      </c>
      <c r="D29" t="str">
        <f t="shared" si="3"/>
        <v>INSTITUTO DE FOMENTO PESQUERO</v>
      </c>
      <c r="E29" s="14" t="s">
        <v>36</v>
      </c>
      <c r="F29" s="15" t="s">
        <v>58</v>
      </c>
      <c r="G29" s="16">
        <v>5</v>
      </c>
      <c r="H29" s="17" t="s">
        <v>63</v>
      </c>
      <c r="I29" s="17" t="s">
        <v>64</v>
      </c>
      <c r="J29" s="19">
        <v>7.8933333333333335</v>
      </c>
      <c r="K29" s="24">
        <v>3.7859388972002035E-2</v>
      </c>
      <c r="L29" s="19">
        <v>11.6</v>
      </c>
      <c r="M29" s="24">
        <v>0.26457513110645914</v>
      </c>
      <c r="N29" s="19">
        <v>482.36666666666662</v>
      </c>
      <c r="O29" s="24">
        <v>11.641448936164823</v>
      </c>
      <c r="P29" s="19" t="s">
        <v>336</v>
      </c>
      <c r="Q29" s="24">
        <v>0</v>
      </c>
      <c r="R29" s="19">
        <v>0.80810000000000004</v>
      </c>
      <c r="S29" s="20">
        <v>44858</v>
      </c>
      <c r="T29" s="21">
        <v>0.47708333333333336</v>
      </c>
      <c r="U29" s="13">
        <f t="shared" si="4"/>
        <v>5</v>
      </c>
    </row>
    <row r="30" spans="1:21" x14ac:dyDescent="0.35">
      <c r="A30" t="str">
        <f t="shared" si="0"/>
        <v>ESTUDIO SEGUIMIENTO DESEMPEÑO AMBIENTAL ACUICULTURA EN CHILE Y SU EFECTO EN LOS ECOSISTEMAS DE EMPLAZAMIENTO 2022-2023</v>
      </c>
      <c r="B30" t="str">
        <f t="shared" si="1"/>
        <v>Objetivo 1. Actividad 2. Muestreos y Analisis sedimentos</v>
      </c>
      <c r="C30" t="str">
        <f t="shared" si="2"/>
        <v>Gastón Vidal</v>
      </c>
      <c r="D30" t="str">
        <f t="shared" si="3"/>
        <v>INSTITUTO DE FOMENTO PESQUERO</v>
      </c>
      <c r="E30" s="14" t="s">
        <v>36</v>
      </c>
      <c r="F30" s="15" t="s">
        <v>58</v>
      </c>
      <c r="G30" s="16">
        <v>7</v>
      </c>
      <c r="H30" s="17" t="s">
        <v>65</v>
      </c>
      <c r="I30" s="17" t="s">
        <v>66</v>
      </c>
      <c r="J30" s="19">
        <v>7.02</v>
      </c>
      <c r="K30" s="24">
        <v>0</v>
      </c>
      <c r="L30" s="19">
        <v>11.4</v>
      </c>
      <c r="M30" s="24">
        <v>0</v>
      </c>
      <c r="N30" s="19">
        <v>-14.000000000000009</v>
      </c>
      <c r="O30" s="24">
        <v>66.210875239646256</v>
      </c>
      <c r="P30" s="19" t="s">
        <v>336</v>
      </c>
      <c r="Q30" s="24">
        <v>0</v>
      </c>
      <c r="R30" s="19">
        <v>0.72650000000000003</v>
      </c>
      <c r="S30" s="20">
        <v>44782</v>
      </c>
      <c r="T30" s="21">
        <v>0.46249999999999997</v>
      </c>
      <c r="U30" s="13">
        <f t="shared" si="4"/>
        <v>7</v>
      </c>
    </row>
    <row r="31" spans="1:21" x14ac:dyDescent="0.35">
      <c r="A31" t="str">
        <f t="shared" si="0"/>
        <v>ESTUDIO SEGUIMIENTO DESEMPEÑO AMBIENTAL ACUICULTURA EN CHILE Y SU EFECTO EN LOS ECOSISTEMAS DE EMPLAZAMIENTO 2022-2023</v>
      </c>
      <c r="B31" t="str">
        <f t="shared" si="1"/>
        <v>Objetivo 1. Actividad 2. Muestreos y Analisis sedimentos</v>
      </c>
      <c r="C31" t="str">
        <f t="shared" si="2"/>
        <v>Gastón Vidal</v>
      </c>
      <c r="D31" t="str">
        <f t="shared" si="3"/>
        <v>INSTITUTO DE FOMENTO PESQUERO</v>
      </c>
      <c r="E31" s="14" t="s">
        <v>36</v>
      </c>
      <c r="F31" s="15" t="s">
        <v>58</v>
      </c>
      <c r="G31" s="16">
        <v>13</v>
      </c>
      <c r="H31" s="17" t="s">
        <v>67</v>
      </c>
      <c r="I31" s="17" t="s">
        <v>68</v>
      </c>
      <c r="J31" s="19">
        <v>7.4233333333333329</v>
      </c>
      <c r="K31" s="24">
        <v>0.13796134724383241</v>
      </c>
      <c r="L31" s="19">
        <v>9.9666666666666668</v>
      </c>
      <c r="M31" s="24">
        <v>0.11547005383792475</v>
      </c>
      <c r="N31" s="19">
        <v>21.866666666666664</v>
      </c>
      <c r="O31" s="24">
        <v>22.754633227835885</v>
      </c>
      <c r="P31" s="19">
        <v>13.220178706360441</v>
      </c>
      <c r="Q31" s="24">
        <v>9.2823690684205697</v>
      </c>
      <c r="R31" s="19">
        <v>1.0245</v>
      </c>
      <c r="S31" s="20">
        <v>44782</v>
      </c>
      <c r="T31" s="21">
        <v>0.3576388888888889</v>
      </c>
      <c r="U31" s="13">
        <f t="shared" si="4"/>
        <v>13</v>
      </c>
    </row>
    <row r="32" spans="1:21" x14ac:dyDescent="0.35">
      <c r="A32" t="str">
        <f t="shared" si="0"/>
        <v>ESTUDIO SEGUIMIENTO DESEMPEÑO AMBIENTAL ACUICULTURA EN CHILE Y SU EFECTO EN LOS ECOSISTEMAS DE EMPLAZAMIENTO 2022-2023</v>
      </c>
      <c r="B32" t="str">
        <f t="shared" si="1"/>
        <v>Objetivo 1. Actividad 2. Muestreos y Analisis sedimentos</v>
      </c>
      <c r="C32" t="str">
        <f t="shared" si="2"/>
        <v>Gastón Vidal</v>
      </c>
      <c r="D32" t="str">
        <f t="shared" si="3"/>
        <v>INSTITUTO DE FOMENTO PESQUERO</v>
      </c>
      <c r="E32" s="14" t="s">
        <v>36</v>
      </c>
      <c r="F32" s="15" t="s">
        <v>58</v>
      </c>
      <c r="G32" s="16">
        <v>15</v>
      </c>
      <c r="H32" s="17" t="s">
        <v>69</v>
      </c>
      <c r="I32" s="17" t="s">
        <v>70</v>
      </c>
      <c r="J32" s="19">
        <v>7.4566666666666661</v>
      </c>
      <c r="K32" s="24">
        <v>0.10692676621563632</v>
      </c>
      <c r="L32" s="19">
        <v>11.333333333333334</v>
      </c>
      <c r="M32" s="24">
        <v>0.15275252316519491</v>
      </c>
      <c r="N32" s="19">
        <v>429.10000000000008</v>
      </c>
      <c r="O32" s="24">
        <v>38.069804307350985</v>
      </c>
      <c r="P32" s="19">
        <v>0.48435815400286741</v>
      </c>
      <c r="Q32" s="24">
        <v>0.14876143976289916</v>
      </c>
      <c r="R32" s="19">
        <v>1.3303</v>
      </c>
      <c r="S32" s="20">
        <v>44860</v>
      </c>
      <c r="T32" s="21">
        <v>0.46805555555555556</v>
      </c>
      <c r="U32" s="13">
        <f t="shared" si="4"/>
        <v>15</v>
      </c>
    </row>
    <row r="33" spans="1:21" x14ac:dyDescent="0.35">
      <c r="A33" t="str">
        <f t="shared" si="0"/>
        <v>ESTUDIO SEGUIMIENTO DESEMPEÑO AMBIENTAL ACUICULTURA EN CHILE Y SU EFECTO EN LOS ECOSISTEMAS DE EMPLAZAMIENTO 2022-2023</v>
      </c>
      <c r="B33" t="str">
        <f t="shared" si="1"/>
        <v>Objetivo 1. Actividad 2. Muestreos y Analisis sedimentos</v>
      </c>
      <c r="C33" t="str">
        <f t="shared" si="2"/>
        <v>Gastón Vidal</v>
      </c>
      <c r="D33" t="str">
        <f t="shared" si="3"/>
        <v>INSTITUTO DE FOMENTO PESQUERO</v>
      </c>
      <c r="E33" s="14" t="s">
        <v>36</v>
      </c>
      <c r="F33" s="15" t="s">
        <v>58</v>
      </c>
      <c r="G33" s="16">
        <v>17</v>
      </c>
      <c r="H33" s="17" t="s">
        <v>71</v>
      </c>
      <c r="I33" s="17" t="s">
        <v>72</v>
      </c>
      <c r="J33" s="19">
        <v>7.1433333333333335</v>
      </c>
      <c r="K33" s="24">
        <v>3.7859388972002035E-2</v>
      </c>
      <c r="L33" s="19">
        <v>11.866666666666665</v>
      </c>
      <c r="M33" s="24">
        <v>0.20816659994661324</v>
      </c>
      <c r="N33" s="19">
        <v>419.2</v>
      </c>
      <c r="O33" s="24">
        <v>106.61139713933051</v>
      </c>
      <c r="P33" s="19">
        <v>1.4323857411486485</v>
      </c>
      <c r="Q33" s="24">
        <v>1.0360735815416442</v>
      </c>
      <c r="R33" s="19">
        <v>1.1656</v>
      </c>
      <c r="S33" s="20">
        <v>44860</v>
      </c>
      <c r="T33" s="21">
        <v>0.5</v>
      </c>
      <c r="U33" s="13">
        <f t="shared" si="4"/>
        <v>17</v>
      </c>
    </row>
    <row r="34" spans="1:21" x14ac:dyDescent="0.35">
      <c r="A34" t="str">
        <f t="shared" si="0"/>
        <v>ESTUDIO SEGUIMIENTO DESEMPEÑO AMBIENTAL ACUICULTURA EN CHILE Y SU EFECTO EN LOS ECOSISTEMAS DE EMPLAZAMIENTO 2022-2023</v>
      </c>
      <c r="B34" t="str">
        <f t="shared" si="1"/>
        <v>Objetivo 1. Actividad 2. Muestreos y Analisis sedimentos</v>
      </c>
      <c r="C34" t="str">
        <f t="shared" si="2"/>
        <v>Gastón Vidal</v>
      </c>
      <c r="D34" t="str">
        <f t="shared" si="3"/>
        <v>INSTITUTO DE FOMENTO PESQUERO</v>
      </c>
      <c r="E34" s="14" t="s">
        <v>36</v>
      </c>
      <c r="F34" s="15" t="s">
        <v>58</v>
      </c>
      <c r="G34" s="16">
        <v>19</v>
      </c>
      <c r="H34" s="17" t="s">
        <v>73</v>
      </c>
      <c r="I34" s="17" t="s">
        <v>74</v>
      </c>
      <c r="J34" s="19">
        <v>7.3433333333333337</v>
      </c>
      <c r="K34" s="24">
        <v>4.6188021535170098E-2</v>
      </c>
      <c r="L34" s="19">
        <v>11.800000000000002</v>
      </c>
      <c r="M34" s="24">
        <v>0.55677643628300211</v>
      </c>
      <c r="N34" s="19">
        <v>427.23333333333335</v>
      </c>
      <c r="O34" s="24">
        <v>76.010613294021539</v>
      </c>
      <c r="P34" s="19">
        <v>1.1845226103236839</v>
      </c>
      <c r="Q34" s="24">
        <v>0.56952329063589568</v>
      </c>
      <c r="R34" s="19">
        <v>1.0401</v>
      </c>
      <c r="S34" s="20">
        <v>44860</v>
      </c>
      <c r="T34" s="21">
        <v>0.75069444444444444</v>
      </c>
      <c r="U34" s="13">
        <f t="shared" si="4"/>
        <v>19</v>
      </c>
    </row>
    <row r="35" spans="1:21" x14ac:dyDescent="0.35">
      <c r="A35" t="str">
        <f t="shared" si="0"/>
        <v>ESTUDIO SEGUIMIENTO DESEMPEÑO AMBIENTAL ACUICULTURA EN CHILE Y SU EFECTO EN LOS ECOSISTEMAS DE EMPLAZAMIENTO 2022-2023</v>
      </c>
      <c r="B35" t="str">
        <f t="shared" si="1"/>
        <v>Objetivo 1. Actividad 2. Muestreos y Analisis sedimentos</v>
      </c>
      <c r="C35" t="str">
        <f t="shared" si="2"/>
        <v>Gastón Vidal</v>
      </c>
      <c r="D35" t="str">
        <f t="shared" si="3"/>
        <v>INSTITUTO DE FOMENTO PESQUERO</v>
      </c>
      <c r="E35" s="14" t="s">
        <v>36</v>
      </c>
      <c r="F35" s="15" t="s">
        <v>58</v>
      </c>
      <c r="G35" s="16">
        <v>21</v>
      </c>
      <c r="H35" s="17" t="s">
        <v>75</v>
      </c>
      <c r="I35" s="17" t="s">
        <v>76</v>
      </c>
      <c r="J35" s="19">
        <v>7.4266666666666667</v>
      </c>
      <c r="K35" s="24">
        <v>8.9628864398325153E-2</v>
      </c>
      <c r="L35" s="19">
        <v>11.166666666666666</v>
      </c>
      <c r="M35" s="24">
        <v>0.28867513459481292</v>
      </c>
      <c r="N35" s="19">
        <v>345.16666666666669</v>
      </c>
      <c r="O35" s="24">
        <v>14.497011186218126</v>
      </c>
      <c r="P35" s="19">
        <v>3.3690193199285665</v>
      </c>
      <c r="Q35" s="24">
        <v>0.86480838309453556</v>
      </c>
      <c r="R35" s="19">
        <v>1.8435999999999999</v>
      </c>
      <c r="S35" s="20">
        <v>44860</v>
      </c>
      <c r="T35" s="21">
        <v>0.76180555555555551</v>
      </c>
      <c r="U35" s="13">
        <f t="shared" si="4"/>
        <v>21</v>
      </c>
    </row>
    <row r="36" spans="1:21" x14ac:dyDescent="0.35">
      <c r="A36" t="str">
        <f t="shared" si="0"/>
        <v>ESTUDIO SEGUIMIENTO DESEMPEÑO AMBIENTAL ACUICULTURA EN CHILE Y SU EFECTO EN LOS ECOSISTEMAS DE EMPLAZAMIENTO 2022-2023</v>
      </c>
      <c r="B36" t="str">
        <f t="shared" si="1"/>
        <v>Objetivo 1. Actividad 2. Muestreos y Analisis sedimentos</v>
      </c>
      <c r="C36" t="str">
        <f t="shared" si="2"/>
        <v>Gastón Vidal</v>
      </c>
      <c r="D36" t="str">
        <f t="shared" si="3"/>
        <v>INSTITUTO DE FOMENTO PESQUERO</v>
      </c>
      <c r="E36" s="14" t="s">
        <v>36</v>
      </c>
      <c r="F36" s="15" t="s">
        <v>58</v>
      </c>
      <c r="G36" s="16">
        <v>25</v>
      </c>
      <c r="H36" s="18" t="s">
        <v>77</v>
      </c>
      <c r="I36" s="18" t="s">
        <v>78</v>
      </c>
      <c r="J36" s="19">
        <v>7.6433333333333335</v>
      </c>
      <c r="K36" s="24">
        <v>0.10066445913694343</v>
      </c>
      <c r="L36" s="19">
        <v>12.466666666666667</v>
      </c>
      <c r="M36" s="24">
        <v>5.7735026918962373E-2</v>
      </c>
      <c r="N36" s="19">
        <v>342.63333333333338</v>
      </c>
      <c r="O36" s="24">
        <v>56.488612421737621</v>
      </c>
      <c r="P36" s="19" t="s">
        <v>336</v>
      </c>
      <c r="Q36" s="24">
        <v>0</v>
      </c>
      <c r="R36" s="19">
        <v>1.6972</v>
      </c>
      <c r="S36" s="20">
        <v>44859</v>
      </c>
      <c r="T36" s="21">
        <v>0.44791666666666669</v>
      </c>
      <c r="U36" s="13">
        <f t="shared" si="4"/>
        <v>25</v>
      </c>
    </row>
    <row r="37" spans="1:21" x14ac:dyDescent="0.35">
      <c r="A37" t="str">
        <f t="shared" si="0"/>
        <v>ESTUDIO SEGUIMIENTO DESEMPEÑO AMBIENTAL ACUICULTURA EN CHILE Y SU EFECTO EN LOS ECOSISTEMAS DE EMPLAZAMIENTO 2022-2023</v>
      </c>
      <c r="B37" t="str">
        <f t="shared" si="1"/>
        <v>Objetivo 1. Actividad 2. Muestreos y Analisis sedimentos</v>
      </c>
      <c r="C37" t="str">
        <f t="shared" si="2"/>
        <v>Gastón Vidal</v>
      </c>
      <c r="D37" t="str">
        <f t="shared" si="3"/>
        <v>INSTITUTO DE FOMENTO PESQUERO</v>
      </c>
      <c r="E37" s="14" t="s">
        <v>36</v>
      </c>
      <c r="F37" s="15" t="s">
        <v>79</v>
      </c>
      <c r="G37" s="16">
        <v>1</v>
      </c>
      <c r="H37" s="17" t="s">
        <v>80</v>
      </c>
      <c r="I37" s="17" t="s">
        <v>81</v>
      </c>
      <c r="J37" s="19">
        <v>7.5</v>
      </c>
      <c r="K37" s="24">
        <v>0.29999999999999982</v>
      </c>
      <c r="L37" s="19">
        <v>9.9666666666666668</v>
      </c>
      <c r="M37" s="24">
        <v>0.25166114784235838</v>
      </c>
      <c r="N37" s="19">
        <v>42.9</v>
      </c>
      <c r="O37" s="24">
        <v>18.09226353997752</v>
      </c>
      <c r="P37" s="19">
        <v>12.48165661557235</v>
      </c>
      <c r="Q37" s="24">
        <v>5.0448181885732986</v>
      </c>
      <c r="R37" s="19">
        <v>0.95509999999999995</v>
      </c>
      <c r="S37" s="20">
        <v>44783</v>
      </c>
      <c r="T37" s="21">
        <v>0.34722222222222227</v>
      </c>
      <c r="U37" s="13">
        <f t="shared" si="4"/>
        <v>1</v>
      </c>
    </row>
    <row r="38" spans="1:21" x14ac:dyDescent="0.35">
      <c r="A38" t="str">
        <f t="shared" si="0"/>
        <v>ESTUDIO SEGUIMIENTO DESEMPEÑO AMBIENTAL ACUICULTURA EN CHILE Y SU EFECTO EN LOS ECOSISTEMAS DE EMPLAZAMIENTO 2022-2023</v>
      </c>
      <c r="B38" t="str">
        <f t="shared" si="1"/>
        <v>Objetivo 1. Actividad 2. Muestreos y Analisis sedimentos</v>
      </c>
      <c r="C38" t="str">
        <f t="shared" si="2"/>
        <v>Gastón Vidal</v>
      </c>
      <c r="D38" t="str">
        <f t="shared" si="3"/>
        <v>INSTITUTO DE FOMENTO PESQUERO</v>
      </c>
      <c r="E38" s="14" t="s">
        <v>36</v>
      </c>
      <c r="F38" s="15" t="s">
        <v>79</v>
      </c>
      <c r="G38" s="16">
        <v>2</v>
      </c>
      <c r="H38" s="17" t="s">
        <v>82</v>
      </c>
      <c r="I38" s="17" t="s">
        <v>83</v>
      </c>
      <c r="J38" s="19">
        <v>7.3</v>
      </c>
      <c r="K38" s="24">
        <v>6.0000000000000053E-2</v>
      </c>
      <c r="L38" s="19">
        <v>10.1</v>
      </c>
      <c r="M38" s="24">
        <v>9.9999999999999645E-2</v>
      </c>
      <c r="N38" s="19">
        <v>-73.933333333333337</v>
      </c>
      <c r="O38" s="24">
        <v>66.906227911408479</v>
      </c>
      <c r="P38" s="19">
        <v>22.540643650826549</v>
      </c>
      <c r="Q38" s="24">
        <v>16.288574190696281</v>
      </c>
      <c r="R38" s="19">
        <v>2.2728999999999999</v>
      </c>
      <c r="S38" s="20">
        <v>44783</v>
      </c>
      <c r="T38" s="21">
        <v>0.4284722222222222</v>
      </c>
      <c r="U38" s="13">
        <f t="shared" si="4"/>
        <v>2</v>
      </c>
    </row>
    <row r="39" spans="1:21" x14ac:dyDescent="0.35">
      <c r="A39" t="str">
        <f t="shared" si="0"/>
        <v>ESTUDIO SEGUIMIENTO DESEMPEÑO AMBIENTAL ACUICULTURA EN CHILE Y SU EFECTO EN LOS ECOSISTEMAS DE EMPLAZAMIENTO 2022-2023</v>
      </c>
      <c r="B39" t="str">
        <f t="shared" si="1"/>
        <v>Objetivo 1. Actividad 2. Muestreos y Analisis sedimentos</v>
      </c>
      <c r="C39" t="str">
        <f t="shared" si="2"/>
        <v>Gastón Vidal</v>
      </c>
      <c r="D39" t="str">
        <f t="shared" si="3"/>
        <v>INSTITUTO DE FOMENTO PESQUERO</v>
      </c>
      <c r="E39" s="14" t="s">
        <v>36</v>
      </c>
      <c r="F39" s="15" t="s">
        <v>79</v>
      </c>
      <c r="G39" s="16">
        <v>8</v>
      </c>
      <c r="H39" s="17" t="s">
        <v>84</v>
      </c>
      <c r="I39" s="17" t="s">
        <v>85</v>
      </c>
      <c r="J39" s="19">
        <v>6.9766666666666666</v>
      </c>
      <c r="K39" s="24">
        <v>0.24006943440041095</v>
      </c>
      <c r="L39" s="19">
        <v>9.9333333333333336</v>
      </c>
      <c r="M39" s="24">
        <v>0.11547005383792475</v>
      </c>
      <c r="N39" s="19">
        <v>-52.533333333333339</v>
      </c>
      <c r="O39" s="24">
        <v>130.36757009829299</v>
      </c>
      <c r="P39" s="19">
        <v>57.68200084052372</v>
      </c>
      <c r="Q39" s="24">
        <v>20.12128707444359</v>
      </c>
      <c r="R39" s="19">
        <v>1.6742999999999999</v>
      </c>
      <c r="S39" s="20">
        <v>44783</v>
      </c>
      <c r="T39" s="21">
        <v>0.3888888888888889</v>
      </c>
      <c r="U39" s="13">
        <f t="shared" si="4"/>
        <v>8</v>
      </c>
    </row>
    <row r="40" spans="1:21" x14ac:dyDescent="0.35">
      <c r="A40" t="str">
        <f t="shared" si="0"/>
        <v>ESTUDIO SEGUIMIENTO DESEMPEÑO AMBIENTAL ACUICULTURA EN CHILE Y SU EFECTO EN LOS ECOSISTEMAS DE EMPLAZAMIENTO 2022-2023</v>
      </c>
      <c r="B40" t="str">
        <f t="shared" si="1"/>
        <v>Objetivo 1. Actividad 2. Muestreos y Analisis sedimentos</v>
      </c>
      <c r="C40" t="str">
        <f t="shared" si="2"/>
        <v>Gastón Vidal</v>
      </c>
      <c r="D40" t="str">
        <f t="shared" si="3"/>
        <v>INSTITUTO DE FOMENTO PESQUERO</v>
      </c>
      <c r="E40" s="14" t="s">
        <v>36</v>
      </c>
      <c r="F40" s="15" t="s">
        <v>79</v>
      </c>
      <c r="G40" s="16">
        <v>16</v>
      </c>
      <c r="H40" s="17" t="s">
        <v>86</v>
      </c>
      <c r="I40" s="17" t="s">
        <v>87</v>
      </c>
      <c r="J40" s="19">
        <v>7.4666666666666659</v>
      </c>
      <c r="K40" s="24">
        <v>0.11930353445448834</v>
      </c>
      <c r="L40" s="19">
        <v>10.6</v>
      </c>
      <c r="M40" s="24">
        <v>0</v>
      </c>
      <c r="N40" s="19">
        <v>61.900000000000006</v>
      </c>
      <c r="O40" s="24">
        <v>34.2579917683451</v>
      </c>
      <c r="P40" s="19">
        <v>0.66482856391535083</v>
      </c>
      <c r="Q40" s="24">
        <v>0.41127628381164993</v>
      </c>
      <c r="R40" s="19">
        <v>0.86699999999999999</v>
      </c>
      <c r="S40" s="20">
        <v>44782</v>
      </c>
      <c r="T40" s="21">
        <v>0.61111111111111105</v>
      </c>
      <c r="U40" s="13">
        <f t="shared" si="4"/>
        <v>16</v>
      </c>
    </row>
    <row r="41" spans="1:21" x14ac:dyDescent="0.35">
      <c r="A41" t="str">
        <f t="shared" si="0"/>
        <v>ESTUDIO SEGUIMIENTO DESEMPEÑO AMBIENTAL ACUICULTURA EN CHILE Y SU EFECTO EN LOS ECOSISTEMAS DE EMPLAZAMIENTO 2022-2023</v>
      </c>
      <c r="B41" t="str">
        <f t="shared" si="1"/>
        <v>Objetivo 1. Actividad 2. Muestreos y Analisis sedimentos</v>
      </c>
      <c r="C41" t="str">
        <f t="shared" si="2"/>
        <v>Gastón Vidal</v>
      </c>
      <c r="D41" t="str">
        <f t="shared" si="3"/>
        <v>INSTITUTO DE FOMENTO PESQUERO</v>
      </c>
      <c r="E41" s="14" t="s">
        <v>36</v>
      </c>
      <c r="F41" s="15" t="s">
        <v>79</v>
      </c>
      <c r="G41" s="16">
        <v>22</v>
      </c>
      <c r="H41" s="17" t="s">
        <v>88</v>
      </c>
      <c r="I41" s="17" t="s">
        <v>83</v>
      </c>
      <c r="J41" s="19">
        <v>7.6766666666666667</v>
      </c>
      <c r="K41" s="24">
        <v>0.11503622617824953</v>
      </c>
      <c r="L41" s="19">
        <v>9.9666666666666668</v>
      </c>
      <c r="M41" s="24">
        <v>5.7735026918962373E-2</v>
      </c>
      <c r="N41" s="19">
        <v>46.066666666666663</v>
      </c>
      <c r="O41" s="24">
        <v>67.282786307742441</v>
      </c>
      <c r="P41" s="19" t="s">
        <v>336</v>
      </c>
      <c r="Q41" s="24">
        <v>0</v>
      </c>
      <c r="R41" s="19">
        <v>1.8743000000000001</v>
      </c>
      <c r="S41" s="20">
        <v>44783</v>
      </c>
      <c r="T41" s="21">
        <v>0.4465277777777778</v>
      </c>
      <c r="U41" s="13">
        <f t="shared" si="4"/>
        <v>22</v>
      </c>
    </row>
    <row r="42" spans="1:21" x14ac:dyDescent="0.35">
      <c r="A42" t="str">
        <f t="shared" si="0"/>
        <v>ESTUDIO SEGUIMIENTO DESEMPEÑO AMBIENTAL ACUICULTURA EN CHILE Y SU EFECTO EN LOS ECOSISTEMAS DE EMPLAZAMIENTO 2022-2023</v>
      </c>
      <c r="B42" t="str">
        <f t="shared" si="1"/>
        <v>Objetivo 1. Actividad 2. Muestreos y Analisis sedimentos</v>
      </c>
      <c r="C42" t="str">
        <f t="shared" si="2"/>
        <v>Gastón Vidal</v>
      </c>
      <c r="D42" t="str">
        <f t="shared" si="3"/>
        <v>INSTITUTO DE FOMENTO PESQUERO</v>
      </c>
      <c r="E42" s="14" t="s">
        <v>36</v>
      </c>
      <c r="F42" s="15" t="s">
        <v>79</v>
      </c>
      <c r="G42" s="16">
        <v>26</v>
      </c>
      <c r="H42" s="17" t="s">
        <v>89</v>
      </c>
      <c r="I42" s="17" t="s">
        <v>90</v>
      </c>
      <c r="J42" s="19">
        <v>7.3633333333333333</v>
      </c>
      <c r="K42" s="24">
        <v>5.5075705472861163E-2</v>
      </c>
      <c r="L42" s="19">
        <v>10.4</v>
      </c>
      <c r="M42" s="24">
        <v>0</v>
      </c>
      <c r="N42" s="19">
        <v>-88.233333333333348</v>
      </c>
      <c r="O42" s="24">
        <v>85.215569782366231</v>
      </c>
      <c r="P42" s="19">
        <v>98.472122097423991</v>
      </c>
      <c r="Q42" s="24">
        <v>20.768036604382477</v>
      </c>
      <c r="R42" s="19">
        <v>8.0350999999999999</v>
      </c>
      <c r="S42" s="20">
        <v>44783</v>
      </c>
      <c r="T42" s="21">
        <v>0.47916666666666669</v>
      </c>
      <c r="U42" s="13">
        <f t="shared" si="4"/>
        <v>26</v>
      </c>
    </row>
    <row r="43" spans="1:21" x14ac:dyDescent="0.35">
      <c r="A43" t="str">
        <f t="shared" si="0"/>
        <v>ESTUDIO SEGUIMIENTO DESEMPEÑO AMBIENTAL ACUICULTURA EN CHILE Y SU EFECTO EN LOS ECOSISTEMAS DE EMPLAZAMIENTO 2022-2023</v>
      </c>
      <c r="B43" t="str">
        <f t="shared" si="1"/>
        <v>Objetivo 1. Actividad 2. Muestreos y Analisis sedimentos</v>
      </c>
      <c r="C43" t="str">
        <f t="shared" si="2"/>
        <v>Gastón Vidal</v>
      </c>
      <c r="D43" t="str">
        <f t="shared" si="3"/>
        <v>INSTITUTO DE FOMENTO PESQUERO</v>
      </c>
      <c r="E43" s="14" t="s">
        <v>36</v>
      </c>
      <c r="F43" s="15" t="s">
        <v>79</v>
      </c>
      <c r="G43" s="16">
        <v>27</v>
      </c>
      <c r="H43" s="17" t="s">
        <v>91</v>
      </c>
      <c r="I43" s="17" t="s">
        <v>92</v>
      </c>
      <c r="J43" s="19">
        <v>7.7066666666666661</v>
      </c>
      <c r="K43" s="24">
        <v>7.0945988845975722E-2</v>
      </c>
      <c r="L43" s="19">
        <v>10.233333333333333</v>
      </c>
      <c r="M43" s="24">
        <v>0.11547005383792577</v>
      </c>
      <c r="N43" s="19">
        <v>1.7333333333333485</v>
      </c>
      <c r="O43" s="24">
        <v>54.98420985458764</v>
      </c>
      <c r="P43" s="19">
        <v>15.81630223895065</v>
      </c>
      <c r="Q43" s="24">
        <v>10.793067055364006</v>
      </c>
      <c r="R43" s="19">
        <v>0.79190000000000005</v>
      </c>
      <c r="S43" s="20">
        <v>44783</v>
      </c>
      <c r="T43" s="21">
        <v>0.5493055555555556</v>
      </c>
      <c r="U43" s="13">
        <f t="shared" si="4"/>
        <v>27</v>
      </c>
    </row>
    <row r="44" spans="1:21" x14ac:dyDescent="0.35">
      <c r="A44" t="str">
        <f t="shared" si="0"/>
        <v>ESTUDIO SEGUIMIENTO DESEMPEÑO AMBIENTAL ACUICULTURA EN CHILE Y SU EFECTO EN LOS ECOSISTEMAS DE EMPLAZAMIENTO 2022-2023</v>
      </c>
      <c r="B44" t="str">
        <f t="shared" si="1"/>
        <v>Objetivo 1. Actividad 2. Muestreos y Analisis sedimentos</v>
      </c>
      <c r="C44" t="str">
        <f t="shared" si="2"/>
        <v>Gastón Vidal</v>
      </c>
      <c r="D44" t="str">
        <f t="shared" si="3"/>
        <v>INSTITUTO DE FOMENTO PESQUERO</v>
      </c>
      <c r="E44" s="14" t="s">
        <v>36</v>
      </c>
      <c r="F44" s="15" t="s">
        <v>79</v>
      </c>
      <c r="G44" s="16">
        <v>30</v>
      </c>
      <c r="H44" s="17" t="s">
        <v>93</v>
      </c>
      <c r="I44" s="17" t="s">
        <v>94</v>
      </c>
      <c r="J44" s="19">
        <v>7.6366666666666667</v>
      </c>
      <c r="K44" s="24">
        <v>1.5275252316519529E-2</v>
      </c>
      <c r="L44" s="19">
        <v>10.5</v>
      </c>
      <c r="M44" s="24">
        <v>9.9999999999999645E-2</v>
      </c>
      <c r="N44" s="19">
        <v>62.833333333333343</v>
      </c>
      <c r="O44" s="24">
        <v>4.3015501081974348</v>
      </c>
      <c r="P44" s="19">
        <v>1.989467316683431E-5</v>
      </c>
      <c r="Q44" s="24">
        <v>2.5219394216328269E-5</v>
      </c>
      <c r="R44" s="19">
        <v>0.84160000000000001</v>
      </c>
      <c r="S44" s="20">
        <v>44783</v>
      </c>
      <c r="T44" s="21">
        <v>0.60416666666666663</v>
      </c>
      <c r="U44" s="13">
        <f t="shared" si="4"/>
        <v>30</v>
      </c>
    </row>
    <row r="45" spans="1:21" x14ac:dyDescent="0.35">
      <c r="A45" t="str">
        <f t="shared" si="0"/>
        <v>ESTUDIO SEGUIMIENTO DESEMPEÑO AMBIENTAL ACUICULTURA EN CHILE Y SU EFECTO EN LOS ECOSISTEMAS DE EMPLAZAMIENTO 2022-2023</v>
      </c>
      <c r="B45" t="str">
        <f t="shared" si="1"/>
        <v>Objetivo 1. Actividad 2. Muestreos y Analisis sedimentos</v>
      </c>
      <c r="C45" t="str">
        <f t="shared" si="2"/>
        <v>Gastón Vidal</v>
      </c>
      <c r="D45" t="str">
        <f t="shared" si="3"/>
        <v>INSTITUTO DE FOMENTO PESQUERO</v>
      </c>
      <c r="E45" s="14" t="s">
        <v>36</v>
      </c>
      <c r="F45" s="15" t="s">
        <v>95</v>
      </c>
      <c r="G45" s="16">
        <v>2</v>
      </c>
      <c r="H45" s="17" t="s">
        <v>96</v>
      </c>
      <c r="I45" s="17" t="s">
        <v>97</v>
      </c>
      <c r="J45" s="19">
        <v>7.45</v>
      </c>
      <c r="K45" s="24">
        <v>0.20297783130184413</v>
      </c>
      <c r="L45" s="19">
        <v>9.9</v>
      </c>
      <c r="M45" s="24">
        <v>0</v>
      </c>
      <c r="N45" s="19">
        <v>56.933333333333337</v>
      </c>
      <c r="O45" s="24">
        <v>7.0401231049842803</v>
      </c>
      <c r="P45" s="19" t="s">
        <v>336</v>
      </c>
      <c r="Q45" s="24">
        <v>0</v>
      </c>
      <c r="R45" s="19">
        <v>1.2537</v>
      </c>
      <c r="S45" s="20">
        <v>44784</v>
      </c>
      <c r="T45" s="21">
        <v>0.42708333333333331</v>
      </c>
      <c r="U45" s="13">
        <f t="shared" si="4"/>
        <v>2</v>
      </c>
    </row>
    <row r="46" spans="1:21" x14ac:dyDescent="0.35">
      <c r="A46" t="str">
        <f t="shared" si="0"/>
        <v>ESTUDIO SEGUIMIENTO DESEMPEÑO AMBIENTAL ACUICULTURA EN CHILE Y SU EFECTO EN LOS ECOSISTEMAS DE EMPLAZAMIENTO 2022-2023</v>
      </c>
      <c r="B46" t="str">
        <f t="shared" si="1"/>
        <v>Objetivo 1. Actividad 2. Muestreos y Analisis sedimentos</v>
      </c>
      <c r="C46" t="str">
        <f t="shared" si="2"/>
        <v>Gastón Vidal</v>
      </c>
      <c r="D46" t="str">
        <f t="shared" si="3"/>
        <v>INSTITUTO DE FOMENTO PESQUERO</v>
      </c>
      <c r="E46" s="14" t="s">
        <v>36</v>
      </c>
      <c r="F46" s="15" t="s">
        <v>95</v>
      </c>
      <c r="G46" s="16">
        <v>6</v>
      </c>
      <c r="H46" s="17" t="s">
        <v>98</v>
      </c>
      <c r="I46" s="17" t="s">
        <v>99</v>
      </c>
      <c r="J46" s="19">
        <v>7.5233333333333334</v>
      </c>
      <c r="K46" s="24">
        <v>4.725815626252608E-2</v>
      </c>
      <c r="L46" s="19">
        <v>9.9666666666666668</v>
      </c>
      <c r="M46" s="24">
        <v>5.7735026918962373E-2</v>
      </c>
      <c r="N46" s="19">
        <v>-26.100000000000005</v>
      </c>
      <c r="O46" s="24">
        <v>102.8160007002801</v>
      </c>
      <c r="P46" s="19" t="s">
        <v>336</v>
      </c>
      <c r="Q46" s="24">
        <v>0</v>
      </c>
      <c r="R46" s="19">
        <v>0.82979999999999998</v>
      </c>
      <c r="S46" s="20">
        <v>44784</v>
      </c>
      <c r="T46" s="21">
        <v>0.375</v>
      </c>
      <c r="U46" s="13">
        <f t="shared" si="4"/>
        <v>6</v>
      </c>
    </row>
    <row r="47" spans="1:21" x14ac:dyDescent="0.35">
      <c r="A47" t="str">
        <f t="shared" si="0"/>
        <v>ESTUDIO SEGUIMIENTO DESEMPEÑO AMBIENTAL ACUICULTURA EN CHILE Y SU EFECTO EN LOS ECOSISTEMAS DE EMPLAZAMIENTO 2022-2023</v>
      </c>
      <c r="B47" t="str">
        <f t="shared" si="1"/>
        <v>Objetivo 1. Actividad 2. Muestreos y Analisis sedimentos</v>
      </c>
      <c r="C47" t="str">
        <f t="shared" si="2"/>
        <v>Gastón Vidal</v>
      </c>
      <c r="D47" t="str">
        <f t="shared" si="3"/>
        <v>INSTITUTO DE FOMENTO PESQUERO</v>
      </c>
      <c r="E47" s="14" t="s">
        <v>36</v>
      </c>
      <c r="F47" s="15" t="s">
        <v>95</v>
      </c>
      <c r="G47" s="16">
        <v>12</v>
      </c>
      <c r="H47" s="17" t="s">
        <v>100</v>
      </c>
      <c r="I47" s="17" t="s">
        <v>101</v>
      </c>
      <c r="J47" s="19">
        <v>7.4066666666666672</v>
      </c>
      <c r="K47" s="24">
        <v>6.6583281184794035E-2</v>
      </c>
      <c r="L47" s="19">
        <v>10.199999999999999</v>
      </c>
      <c r="M47" s="24">
        <v>0</v>
      </c>
      <c r="N47" s="19">
        <v>2.0666666666666722</v>
      </c>
      <c r="O47" s="24">
        <v>26.904336701233376</v>
      </c>
      <c r="P47" s="19">
        <v>2.7040215578155968</v>
      </c>
      <c r="Q47" s="24">
        <v>2.4642558695661458</v>
      </c>
      <c r="R47" s="19">
        <v>0.93879999999999997</v>
      </c>
      <c r="S47" s="20">
        <v>44783</v>
      </c>
      <c r="T47" s="21">
        <v>0.71319444444444446</v>
      </c>
      <c r="U47" s="13">
        <f t="shared" si="4"/>
        <v>12</v>
      </c>
    </row>
    <row r="48" spans="1:21" x14ac:dyDescent="0.35">
      <c r="A48" t="str">
        <f t="shared" si="0"/>
        <v>ESTUDIO SEGUIMIENTO DESEMPEÑO AMBIENTAL ACUICULTURA EN CHILE Y SU EFECTO EN LOS ECOSISTEMAS DE EMPLAZAMIENTO 2022-2023</v>
      </c>
      <c r="B48" t="str">
        <f t="shared" si="1"/>
        <v>Objetivo 1. Actividad 2. Muestreos y Analisis sedimentos</v>
      </c>
      <c r="C48" t="str">
        <f t="shared" si="2"/>
        <v>Gastón Vidal</v>
      </c>
      <c r="D48" t="str">
        <f t="shared" si="3"/>
        <v>INSTITUTO DE FOMENTO PESQUERO</v>
      </c>
      <c r="E48" s="14" t="s">
        <v>36</v>
      </c>
      <c r="F48" s="15" t="s">
        <v>95</v>
      </c>
      <c r="G48" s="16">
        <v>14</v>
      </c>
      <c r="H48" s="17" t="s">
        <v>102</v>
      </c>
      <c r="I48" s="17" t="s">
        <v>103</v>
      </c>
      <c r="J48" s="19">
        <v>7.71</v>
      </c>
      <c r="K48" s="24">
        <v>0.1743559577416271</v>
      </c>
      <c r="L48" s="19">
        <v>10.5</v>
      </c>
      <c r="M48" s="24">
        <v>0</v>
      </c>
      <c r="N48" s="19">
        <v>81.199999999999989</v>
      </c>
      <c r="O48" s="24">
        <v>30.049958402633468</v>
      </c>
      <c r="P48" s="19">
        <v>1.5982519105091723E-6</v>
      </c>
      <c r="Q48" s="24">
        <v>1.7240041134644969E-6</v>
      </c>
      <c r="R48" s="19">
        <v>0.97060000000000002</v>
      </c>
      <c r="S48" s="20">
        <v>44783</v>
      </c>
      <c r="T48" s="21">
        <v>0.69444444444444442</v>
      </c>
      <c r="U48" s="13">
        <f t="shared" si="4"/>
        <v>14</v>
      </c>
    </row>
    <row r="49" spans="1:21" x14ac:dyDescent="0.35">
      <c r="A49" t="str">
        <f t="shared" si="0"/>
        <v>ESTUDIO SEGUIMIENTO DESEMPEÑO AMBIENTAL ACUICULTURA EN CHILE Y SU EFECTO EN LOS ECOSISTEMAS DE EMPLAZAMIENTO 2022-2023</v>
      </c>
      <c r="B49" t="str">
        <f t="shared" si="1"/>
        <v>Objetivo 1. Actividad 2. Muestreos y Analisis sedimentos</v>
      </c>
      <c r="C49" t="str">
        <f t="shared" si="2"/>
        <v>Gastón Vidal</v>
      </c>
      <c r="D49" t="str">
        <f t="shared" si="3"/>
        <v>INSTITUTO DE FOMENTO PESQUERO</v>
      </c>
      <c r="E49" s="14" t="s">
        <v>36</v>
      </c>
      <c r="F49" s="15" t="s">
        <v>104</v>
      </c>
      <c r="G49" s="16">
        <v>1</v>
      </c>
      <c r="H49" s="17" t="s">
        <v>105</v>
      </c>
      <c r="I49" s="17" t="s">
        <v>106</v>
      </c>
      <c r="J49" s="19">
        <v>7.3533333333333326</v>
      </c>
      <c r="K49" s="24">
        <v>4.5092497528229324E-2</v>
      </c>
      <c r="L49" s="19">
        <v>10.166666666666666</v>
      </c>
      <c r="M49" s="24">
        <v>0.15275252316519491</v>
      </c>
      <c r="N49" s="19">
        <v>10.96666666666666</v>
      </c>
      <c r="O49" s="24">
        <v>43.388977094802932</v>
      </c>
      <c r="P49" s="19" t="s">
        <v>336</v>
      </c>
      <c r="Q49" s="24">
        <v>0</v>
      </c>
      <c r="R49" s="19">
        <v>1.1596</v>
      </c>
      <c r="S49" s="20">
        <v>44785</v>
      </c>
      <c r="T49" s="21">
        <v>0.3576388888888889</v>
      </c>
      <c r="U49" s="13">
        <f t="shared" si="4"/>
        <v>1</v>
      </c>
    </row>
    <row r="50" spans="1:21" x14ac:dyDescent="0.35">
      <c r="A50" t="str">
        <f t="shared" si="0"/>
        <v>ESTUDIO SEGUIMIENTO DESEMPEÑO AMBIENTAL ACUICULTURA EN CHILE Y SU EFECTO EN LOS ECOSISTEMAS DE EMPLAZAMIENTO 2022-2023</v>
      </c>
      <c r="B50" t="str">
        <f t="shared" si="1"/>
        <v>Objetivo 1. Actividad 2. Muestreos y Analisis sedimentos</v>
      </c>
      <c r="C50" t="str">
        <f t="shared" si="2"/>
        <v>Gastón Vidal</v>
      </c>
      <c r="D50" t="str">
        <f t="shared" si="3"/>
        <v>INSTITUTO DE FOMENTO PESQUERO</v>
      </c>
      <c r="E50" s="14" t="s">
        <v>36</v>
      </c>
      <c r="F50" s="15" t="s">
        <v>104</v>
      </c>
      <c r="G50" s="16">
        <v>3</v>
      </c>
      <c r="H50" s="17" t="s">
        <v>107</v>
      </c>
      <c r="I50" s="17" t="s">
        <v>108</v>
      </c>
      <c r="J50" s="19">
        <v>7.6833333333333336</v>
      </c>
      <c r="K50" s="24">
        <v>4.0414518843273968E-2</v>
      </c>
      <c r="L50" s="19">
        <v>9.9</v>
      </c>
      <c r="M50" s="24">
        <v>0</v>
      </c>
      <c r="N50" s="19">
        <v>102.06666666666666</v>
      </c>
      <c r="O50" s="24">
        <v>5.7064291227818948</v>
      </c>
      <c r="P50" s="19">
        <v>0.77666666666666673</v>
      </c>
      <c r="Q50" s="24">
        <v>0.75082177201605793</v>
      </c>
      <c r="R50" s="19">
        <v>1.829</v>
      </c>
      <c r="S50" s="20">
        <v>44785</v>
      </c>
      <c r="T50" s="21">
        <v>0.38541666666666669</v>
      </c>
      <c r="U50" s="13">
        <f t="shared" si="4"/>
        <v>3</v>
      </c>
    </row>
    <row r="51" spans="1:21" x14ac:dyDescent="0.35">
      <c r="A51" t="str">
        <f t="shared" si="0"/>
        <v>ESTUDIO SEGUIMIENTO DESEMPEÑO AMBIENTAL ACUICULTURA EN CHILE Y SU EFECTO EN LOS ECOSISTEMAS DE EMPLAZAMIENTO 2022-2023</v>
      </c>
      <c r="B51" t="str">
        <f t="shared" si="1"/>
        <v>Objetivo 1. Actividad 2. Muestreos y Analisis sedimentos</v>
      </c>
      <c r="C51" t="str">
        <f t="shared" si="2"/>
        <v>Gastón Vidal</v>
      </c>
      <c r="D51" t="str">
        <f t="shared" si="3"/>
        <v>INSTITUTO DE FOMENTO PESQUERO</v>
      </c>
      <c r="E51" s="14" t="s">
        <v>36</v>
      </c>
      <c r="F51" s="15" t="s">
        <v>104</v>
      </c>
      <c r="G51" s="16">
        <v>7</v>
      </c>
      <c r="H51" s="17" t="s">
        <v>109</v>
      </c>
      <c r="I51" s="17" t="s">
        <v>110</v>
      </c>
      <c r="J51" s="19">
        <v>7.95</v>
      </c>
      <c r="K51" s="24">
        <v>0.10392304845413247</v>
      </c>
      <c r="L51" s="19">
        <v>9.9666666666666668</v>
      </c>
      <c r="M51" s="24">
        <v>0.11547005383792475</v>
      </c>
      <c r="N51" s="19">
        <v>93.600000000000009</v>
      </c>
      <c r="O51" s="24">
        <v>28.838689290604069</v>
      </c>
      <c r="P51" s="19" t="s">
        <v>336</v>
      </c>
      <c r="Q51" s="24">
        <v>0</v>
      </c>
      <c r="R51" s="19">
        <v>0.96319999999999995</v>
      </c>
      <c r="S51" s="20">
        <v>44785</v>
      </c>
      <c r="T51" s="21">
        <v>0.51388888888888895</v>
      </c>
      <c r="U51" s="13">
        <f t="shared" si="4"/>
        <v>7</v>
      </c>
    </row>
    <row r="52" spans="1:21" x14ac:dyDescent="0.35">
      <c r="A52" t="str">
        <f t="shared" si="0"/>
        <v>ESTUDIO SEGUIMIENTO DESEMPEÑO AMBIENTAL ACUICULTURA EN CHILE Y SU EFECTO EN LOS ECOSISTEMAS DE EMPLAZAMIENTO 2022-2023</v>
      </c>
      <c r="B52" t="str">
        <f t="shared" si="1"/>
        <v>Objetivo 1. Actividad 2. Muestreos y Analisis sedimentos</v>
      </c>
      <c r="C52" t="str">
        <f t="shared" si="2"/>
        <v>Gastón Vidal</v>
      </c>
      <c r="D52" t="str">
        <f t="shared" si="3"/>
        <v>INSTITUTO DE FOMENTO PESQUERO</v>
      </c>
      <c r="E52" s="14" t="s">
        <v>36</v>
      </c>
      <c r="F52" s="15" t="s">
        <v>104</v>
      </c>
      <c r="G52" s="16">
        <v>10</v>
      </c>
      <c r="H52" s="17" t="s">
        <v>111</v>
      </c>
      <c r="I52" s="17" t="s">
        <v>112</v>
      </c>
      <c r="J52" s="19">
        <v>7.7333333333333334</v>
      </c>
      <c r="K52" s="24">
        <v>4.9328828623162443E-2</v>
      </c>
      <c r="L52" s="19">
        <v>9.9</v>
      </c>
      <c r="M52" s="24">
        <v>0</v>
      </c>
      <c r="N52" s="19">
        <v>114.66666666666667</v>
      </c>
      <c r="O52" s="24">
        <v>25.34449315597632</v>
      </c>
      <c r="P52" s="19">
        <v>10.096666666666666</v>
      </c>
      <c r="Q52" s="24">
        <v>6.4306246456571676</v>
      </c>
      <c r="R52" s="19">
        <v>1.2903</v>
      </c>
      <c r="S52" s="20">
        <v>44785</v>
      </c>
      <c r="T52" s="21">
        <v>0.44444444444444442</v>
      </c>
      <c r="U52" s="13">
        <f t="shared" si="4"/>
        <v>10</v>
      </c>
    </row>
    <row r="53" spans="1:21" x14ac:dyDescent="0.35">
      <c r="A53" t="str">
        <f t="shared" si="0"/>
        <v>ESTUDIO SEGUIMIENTO DESEMPEÑO AMBIENTAL ACUICULTURA EN CHILE Y SU EFECTO EN LOS ECOSISTEMAS DE EMPLAZAMIENTO 2022-2023</v>
      </c>
      <c r="B53" t="str">
        <f t="shared" si="1"/>
        <v>Objetivo 1. Actividad 2. Muestreos y Analisis sedimentos</v>
      </c>
      <c r="C53" t="str">
        <f t="shared" si="2"/>
        <v>Gastón Vidal</v>
      </c>
      <c r="D53" t="str">
        <f t="shared" si="3"/>
        <v>INSTITUTO DE FOMENTO PESQUERO</v>
      </c>
      <c r="E53" s="14" t="s">
        <v>36</v>
      </c>
      <c r="F53" s="15" t="s">
        <v>104</v>
      </c>
      <c r="G53" s="16">
        <v>12</v>
      </c>
      <c r="H53" s="17" t="s">
        <v>113</v>
      </c>
      <c r="I53" s="17" t="s">
        <v>114</v>
      </c>
      <c r="J53" s="19">
        <v>7.1733333333333329</v>
      </c>
      <c r="K53" s="24">
        <v>0.10016652800877834</v>
      </c>
      <c r="L53" s="19">
        <v>9.9666666666666668</v>
      </c>
      <c r="M53" s="24">
        <v>5.7735026918962373E-2</v>
      </c>
      <c r="N53" s="19">
        <v>56.099999999999994</v>
      </c>
      <c r="O53" s="24">
        <v>11.100000000000001</v>
      </c>
      <c r="P53" s="19" t="s">
        <v>336</v>
      </c>
      <c r="Q53" s="24">
        <v>0</v>
      </c>
      <c r="R53" s="19">
        <v>1.1990000000000001</v>
      </c>
      <c r="S53" s="20">
        <v>44784</v>
      </c>
      <c r="T53" s="21">
        <v>0.65069444444444446</v>
      </c>
      <c r="U53" s="13">
        <f t="shared" si="4"/>
        <v>12</v>
      </c>
    </row>
    <row r="54" spans="1:21" x14ac:dyDescent="0.35">
      <c r="A54" t="str">
        <f t="shared" si="0"/>
        <v>ESTUDIO SEGUIMIENTO DESEMPEÑO AMBIENTAL ACUICULTURA EN CHILE Y SU EFECTO EN LOS ECOSISTEMAS DE EMPLAZAMIENTO 2022-2023</v>
      </c>
      <c r="B54" t="str">
        <f t="shared" si="1"/>
        <v>Objetivo 1. Actividad 2. Muestreos y Analisis sedimentos</v>
      </c>
      <c r="C54" t="str">
        <f t="shared" si="2"/>
        <v>Gastón Vidal</v>
      </c>
      <c r="D54" t="str">
        <f t="shared" si="3"/>
        <v>INSTITUTO DE FOMENTO PESQUERO</v>
      </c>
      <c r="E54" s="14" t="s">
        <v>36</v>
      </c>
      <c r="F54" s="15" t="s">
        <v>104</v>
      </c>
      <c r="G54" s="16">
        <v>13</v>
      </c>
      <c r="H54" s="17" t="s">
        <v>115</v>
      </c>
      <c r="I54" s="17" t="s">
        <v>116</v>
      </c>
      <c r="J54" s="19">
        <v>7.4866666666666672</v>
      </c>
      <c r="K54" s="24">
        <v>0.17156145643277021</v>
      </c>
      <c r="L54" s="19">
        <v>9.9333333333333336</v>
      </c>
      <c r="M54" s="24">
        <v>5.7735026918962373E-2</v>
      </c>
      <c r="N54" s="19">
        <v>70.7</v>
      </c>
      <c r="O54" s="24">
        <v>14.362799170078201</v>
      </c>
      <c r="P54" s="19" t="s">
        <v>336</v>
      </c>
      <c r="Q54" s="24">
        <v>0</v>
      </c>
      <c r="R54" s="19">
        <v>1.3029999999999999</v>
      </c>
      <c r="S54" s="20">
        <v>44784</v>
      </c>
      <c r="T54" s="21">
        <v>0.55694444444444446</v>
      </c>
      <c r="U54" s="13">
        <f t="shared" si="4"/>
        <v>13</v>
      </c>
    </row>
    <row r="55" spans="1:21" x14ac:dyDescent="0.35">
      <c r="A55" t="str">
        <f t="shared" si="0"/>
        <v>ESTUDIO SEGUIMIENTO DESEMPEÑO AMBIENTAL ACUICULTURA EN CHILE Y SU EFECTO EN LOS ECOSISTEMAS DE EMPLAZAMIENTO 2022-2023</v>
      </c>
      <c r="B55" t="str">
        <f t="shared" si="1"/>
        <v>Objetivo 1. Actividad 2. Muestreos y Analisis sedimentos</v>
      </c>
      <c r="C55" t="str">
        <f t="shared" si="2"/>
        <v>Gastón Vidal</v>
      </c>
      <c r="D55" t="str">
        <f t="shared" si="3"/>
        <v>INSTITUTO DE FOMENTO PESQUERO</v>
      </c>
      <c r="E55" s="14" t="s">
        <v>36</v>
      </c>
      <c r="F55" s="15" t="s">
        <v>104</v>
      </c>
      <c r="G55" s="16">
        <v>14</v>
      </c>
      <c r="H55" s="17" t="s">
        <v>117</v>
      </c>
      <c r="I55" s="17" t="s">
        <v>118</v>
      </c>
      <c r="J55" s="19">
        <v>7.55</v>
      </c>
      <c r="K55" s="24">
        <v>6.0827625302981921E-2</v>
      </c>
      <c r="L55" s="19">
        <v>9.9666666666666668</v>
      </c>
      <c r="M55" s="24">
        <v>5.7735026918962373E-2</v>
      </c>
      <c r="N55" s="19">
        <v>-26.033333333333342</v>
      </c>
      <c r="O55" s="24">
        <v>63.548511653171985</v>
      </c>
      <c r="P55" s="19">
        <v>20.71</v>
      </c>
      <c r="Q55" s="24">
        <v>22.692287235975137</v>
      </c>
      <c r="R55" s="19">
        <v>7.2138999999999998</v>
      </c>
      <c r="S55" s="20">
        <v>44784</v>
      </c>
      <c r="T55" s="21">
        <v>0.54166666666666663</v>
      </c>
      <c r="U55" s="13">
        <f t="shared" si="4"/>
        <v>14</v>
      </c>
    </row>
    <row r="56" spans="1:21" x14ac:dyDescent="0.35">
      <c r="A56" t="str">
        <f t="shared" si="0"/>
        <v>ESTUDIO SEGUIMIENTO DESEMPEÑO AMBIENTAL ACUICULTURA EN CHILE Y SU EFECTO EN LOS ECOSISTEMAS DE EMPLAZAMIENTO 2022-2023</v>
      </c>
      <c r="B56" t="str">
        <f t="shared" si="1"/>
        <v>Objetivo 1. Actividad 2. Muestreos y Analisis sedimentos</v>
      </c>
      <c r="C56" t="str">
        <f t="shared" si="2"/>
        <v>Gastón Vidal</v>
      </c>
      <c r="D56" t="str">
        <f t="shared" si="3"/>
        <v>INSTITUTO DE FOMENTO PESQUERO</v>
      </c>
      <c r="E56" s="14" t="s">
        <v>36</v>
      </c>
      <c r="F56" s="15" t="s">
        <v>119</v>
      </c>
      <c r="G56" s="16">
        <v>3</v>
      </c>
      <c r="H56" s="17" t="s">
        <v>120</v>
      </c>
      <c r="I56" s="17" t="s">
        <v>121</v>
      </c>
      <c r="J56" s="19">
        <v>7.56</v>
      </c>
      <c r="K56" s="24">
        <v>0.48072861366887676</v>
      </c>
      <c r="L56" s="19">
        <v>9.5666666666666664</v>
      </c>
      <c r="M56" s="24">
        <v>0.11547005383792475</v>
      </c>
      <c r="N56" s="19">
        <v>138.93333333333334</v>
      </c>
      <c r="O56" s="24">
        <v>28.406043957815243</v>
      </c>
      <c r="P56" s="19" t="s">
        <v>336</v>
      </c>
      <c r="Q56" s="24">
        <v>0</v>
      </c>
      <c r="R56" s="19">
        <v>0.60660000000000003</v>
      </c>
      <c r="S56" s="20">
        <v>44788</v>
      </c>
      <c r="T56" s="21">
        <v>0.375</v>
      </c>
      <c r="U56" s="13">
        <f t="shared" si="4"/>
        <v>3</v>
      </c>
    </row>
    <row r="57" spans="1:21" x14ac:dyDescent="0.35">
      <c r="A57" t="str">
        <f t="shared" si="0"/>
        <v>ESTUDIO SEGUIMIENTO DESEMPEÑO AMBIENTAL ACUICULTURA EN CHILE Y SU EFECTO EN LOS ECOSISTEMAS DE EMPLAZAMIENTO 2022-2023</v>
      </c>
      <c r="B57" t="str">
        <f t="shared" si="1"/>
        <v>Objetivo 1. Actividad 2. Muestreos y Analisis sedimentos</v>
      </c>
      <c r="C57" t="str">
        <f t="shared" si="2"/>
        <v>Gastón Vidal</v>
      </c>
      <c r="D57" t="str">
        <f t="shared" si="3"/>
        <v>INSTITUTO DE FOMENTO PESQUERO</v>
      </c>
      <c r="E57" s="14" t="s">
        <v>36</v>
      </c>
      <c r="F57" s="15" t="s">
        <v>119</v>
      </c>
      <c r="G57" s="16">
        <v>4</v>
      </c>
      <c r="H57" s="17" t="s">
        <v>122</v>
      </c>
      <c r="I57" s="17" t="s">
        <v>123</v>
      </c>
      <c r="J57" s="19">
        <v>7.5233333333333334</v>
      </c>
      <c r="K57" s="24">
        <v>6.8068592855540358E-2</v>
      </c>
      <c r="L57" s="19">
        <v>8.9333333333333318</v>
      </c>
      <c r="M57" s="24">
        <v>5.7735026918962373E-2</v>
      </c>
      <c r="N57" s="19">
        <v>139.93333333333331</v>
      </c>
      <c r="O57" s="24">
        <v>10.703893372662748</v>
      </c>
      <c r="P57" s="19" t="s">
        <v>336</v>
      </c>
      <c r="Q57" s="24">
        <v>0</v>
      </c>
      <c r="R57" s="19">
        <v>0.92310000000000003</v>
      </c>
      <c r="S57" s="20">
        <v>44788</v>
      </c>
      <c r="T57" s="21">
        <v>0.40972222222222227</v>
      </c>
      <c r="U57" s="13">
        <f t="shared" si="4"/>
        <v>4</v>
      </c>
    </row>
    <row r="58" spans="1:21" x14ac:dyDescent="0.35">
      <c r="A58" t="str">
        <f t="shared" si="0"/>
        <v>ESTUDIO SEGUIMIENTO DESEMPEÑO AMBIENTAL ACUICULTURA EN CHILE Y SU EFECTO EN LOS ECOSISTEMAS DE EMPLAZAMIENTO 2022-2023</v>
      </c>
      <c r="B58" t="str">
        <f t="shared" si="1"/>
        <v>Objetivo 1. Actividad 2. Muestreos y Analisis sedimentos</v>
      </c>
      <c r="C58" t="str">
        <f t="shared" si="2"/>
        <v>Gastón Vidal</v>
      </c>
      <c r="D58" t="str">
        <f t="shared" si="3"/>
        <v>INSTITUTO DE FOMENTO PESQUERO</v>
      </c>
      <c r="E58" s="14" t="s">
        <v>36</v>
      </c>
      <c r="F58" s="15" t="s">
        <v>119</v>
      </c>
      <c r="G58" s="16">
        <v>7</v>
      </c>
      <c r="H58" s="17" t="s">
        <v>124</v>
      </c>
      <c r="I58" s="17" t="s">
        <v>125</v>
      </c>
      <c r="J58" s="19">
        <v>7.9866666666666672</v>
      </c>
      <c r="K58" s="24">
        <v>2.081665999466124E-2</v>
      </c>
      <c r="L58" s="19">
        <v>9.5666666666666664</v>
      </c>
      <c r="M58" s="24">
        <v>5.7735026918962373E-2</v>
      </c>
      <c r="N58" s="19">
        <v>128.33333333333334</v>
      </c>
      <c r="O58" s="24">
        <v>7.0599811142334712</v>
      </c>
      <c r="P58" s="19" t="s">
        <v>336</v>
      </c>
      <c r="Q58" s="24">
        <v>0</v>
      </c>
      <c r="R58" s="19">
        <v>0.80230000000000001</v>
      </c>
      <c r="S58" s="20">
        <v>44785</v>
      </c>
      <c r="T58" s="21">
        <v>0.62361111111111112</v>
      </c>
      <c r="U58" s="13">
        <f t="shared" si="4"/>
        <v>7</v>
      </c>
    </row>
    <row r="59" spans="1:21" x14ac:dyDescent="0.35">
      <c r="A59" t="str">
        <f t="shared" si="0"/>
        <v>ESTUDIO SEGUIMIENTO DESEMPEÑO AMBIENTAL ACUICULTURA EN CHILE Y SU EFECTO EN LOS ECOSISTEMAS DE EMPLAZAMIENTO 2022-2023</v>
      </c>
      <c r="B59" t="str">
        <f t="shared" si="1"/>
        <v>Objetivo 1. Actividad 2. Muestreos y Analisis sedimentos</v>
      </c>
      <c r="C59" t="str">
        <f t="shared" si="2"/>
        <v>Gastón Vidal</v>
      </c>
      <c r="D59" t="str">
        <f t="shared" si="3"/>
        <v>INSTITUTO DE FOMENTO PESQUERO</v>
      </c>
      <c r="E59" s="14" t="s">
        <v>36</v>
      </c>
      <c r="F59" s="15" t="s">
        <v>119</v>
      </c>
      <c r="G59" s="16">
        <v>10</v>
      </c>
      <c r="H59" s="17" t="s">
        <v>126</v>
      </c>
      <c r="I59" s="17" t="s">
        <v>127</v>
      </c>
      <c r="J59" s="19">
        <v>7.87</v>
      </c>
      <c r="K59" s="24">
        <v>0.12489995996796766</v>
      </c>
      <c r="L59" s="19">
        <v>9.9666666666666668</v>
      </c>
      <c r="M59" s="24">
        <v>5.7735026918962373E-2</v>
      </c>
      <c r="N59" s="19">
        <v>115.5</v>
      </c>
      <c r="O59" s="24">
        <v>17.558188972670298</v>
      </c>
      <c r="P59" s="19">
        <v>0</v>
      </c>
      <c r="Q59" s="24">
        <v>0</v>
      </c>
      <c r="R59" s="19">
        <v>1.2114</v>
      </c>
      <c r="S59" s="20">
        <v>44785</v>
      </c>
      <c r="T59" s="21">
        <v>0.60069444444444442</v>
      </c>
      <c r="U59" s="13">
        <f t="shared" si="4"/>
        <v>10</v>
      </c>
    </row>
    <row r="60" spans="1:21" x14ac:dyDescent="0.35">
      <c r="A60" t="str">
        <f t="shared" si="0"/>
        <v>ESTUDIO SEGUIMIENTO DESEMPEÑO AMBIENTAL ACUICULTURA EN CHILE Y SU EFECTO EN LOS ECOSISTEMAS DE EMPLAZAMIENTO 2022-2023</v>
      </c>
      <c r="B60" t="str">
        <f t="shared" si="1"/>
        <v>Objetivo 1. Actividad 2. Muestreos y Analisis sedimentos</v>
      </c>
      <c r="C60" t="str">
        <f t="shared" si="2"/>
        <v>Gastón Vidal</v>
      </c>
      <c r="D60" t="str">
        <f t="shared" si="3"/>
        <v>INSTITUTO DE FOMENTO PESQUERO</v>
      </c>
      <c r="E60" s="14" t="s">
        <v>36</v>
      </c>
      <c r="F60" s="15" t="s">
        <v>119</v>
      </c>
      <c r="G60" s="16">
        <v>13</v>
      </c>
      <c r="H60" s="17" t="s">
        <v>128</v>
      </c>
      <c r="I60" s="17" t="s">
        <v>129</v>
      </c>
      <c r="J60" s="19">
        <v>7.7566666666666677</v>
      </c>
      <c r="K60" s="24">
        <v>0.19857828011475304</v>
      </c>
      <c r="L60" s="19">
        <v>9.6666666666666661</v>
      </c>
      <c r="M60" s="24">
        <v>5.7735026918962373E-2</v>
      </c>
      <c r="N60" s="19">
        <v>106.3</v>
      </c>
      <c r="O60" s="24">
        <v>10.62967544189379</v>
      </c>
      <c r="P60" s="19" t="s">
        <v>336</v>
      </c>
      <c r="Q60" s="24">
        <v>0</v>
      </c>
      <c r="R60" s="19">
        <v>1.2679</v>
      </c>
      <c r="S60" s="20">
        <v>44785</v>
      </c>
      <c r="T60" s="21">
        <v>0.6875</v>
      </c>
      <c r="U60" s="13">
        <f t="shared" si="4"/>
        <v>13</v>
      </c>
    </row>
    <row r="61" spans="1:21" x14ac:dyDescent="0.35">
      <c r="A61" t="str">
        <f t="shared" si="0"/>
        <v>ESTUDIO SEGUIMIENTO DESEMPEÑO AMBIENTAL ACUICULTURA EN CHILE Y SU EFECTO EN LOS ECOSISTEMAS DE EMPLAZAMIENTO 2022-2023</v>
      </c>
      <c r="B61" t="str">
        <f t="shared" si="1"/>
        <v>Objetivo 1. Actividad 2. Muestreos y Analisis sedimentos</v>
      </c>
      <c r="C61" t="str">
        <f t="shared" si="2"/>
        <v>Gastón Vidal</v>
      </c>
      <c r="D61" t="str">
        <f t="shared" si="3"/>
        <v>INSTITUTO DE FOMENTO PESQUERO</v>
      </c>
      <c r="E61" s="14" t="s">
        <v>36</v>
      </c>
      <c r="F61" s="15" t="s">
        <v>130</v>
      </c>
      <c r="G61" s="16">
        <v>2</v>
      </c>
      <c r="H61" s="17" t="s">
        <v>131</v>
      </c>
      <c r="I61" s="17" t="s">
        <v>132</v>
      </c>
      <c r="J61" s="19">
        <v>7.5666666666666664</v>
      </c>
      <c r="K61" s="24">
        <v>4.9328828623162443E-2</v>
      </c>
      <c r="L61" s="19">
        <v>9.3000000000000007</v>
      </c>
      <c r="M61" s="24">
        <v>0</v>
      </c>
      <c r="N61" s="19">
        <v>168.83333333333334</v>
      </c>
      <c r="O61" s="24">
        <v>8.4245672490243386</v>
      </c>
      <c r="P61" s="19" t="s">
        <v>336</v>
      </c>
      <c r="Q61" s="24">
        <v>0</v>
      </c>
      <c r="R61" s="19">
        <v>2.239033446947654</v>
      </c>
      <c r="S61" s="20">
        <v>44787</v>
      </c>
      <c r="T61" s="21">
        <v>0.42708333333333331</v>
      </c>
      <c r="U61" s="13">
        <f t="shared" si="4"/>
        <v>2</v>
      </c>
    </row>
    <row r="62" spans="1:21" x14ac:dyDescent="0.35">
      <c r="A62" t="str">
        <f t="shared" si="0"/>
        <v>ESTUDIO SEGUIMIENTO DESEMPEÑO AMBIENTAL ACUICULTURA EN CHILE Y SU EFECTO EN LOS ECOSISTEMAS DE EMPLAZAMIENTO 2022-2023</v>
      </c>
      <c r="B62" t="str">
        <f t="shared" si="1"/>
        <v>Objetivo 1. Actividad 2. Muestreos y Analisis sedimentos</v>
      </c>
      <c r="C62" t="str">
        <f t="shared" si="2"/>
        <v>Gastón Vidal</v>
      </c>
      <c r="D62" t="str">
        <f t="shared" si="3"/>
        <v>INSTITUTO DE FOMENTO PESQUERO</v>
      </c>
      <c r="E62" s="14" t="s">
        <v>36</v>
      </c>
      <c r="F62" s="15" t="s">
        <v>130</v>
      </c>
      <c r="G62" s="16">
        <v>3</v>
      </c>
      <c r="H62" s="17" t="s">
        <v>133</v>
      </c>
      <c r="I62" s="17" t="s">
        <v>134</v>
      </c>
      <c r="J62" s="19">
        <v>7.4600000000000009</v>
      </c>
      <c r="K62" s="24">
        <v>0.13076696830622028</v>
      </c>
      <c r="L62" s="19">
        <v>9.6333333333333329</v>
      </c>
      <c r="M62" s="24">
        <v>5.7735026918962373E-2</v>
      </c>
      <c r="N62" s="19">
        <v>138.63333333333333</v>
      </c>
      <c r="O62" s="24">
        <v>4.6285346853332809</v>
      </c>
      <c r="P62" s="19" t="s">
        <v>336</v>
      </c>
      <c r="Q62" s="24">
        <v>0</v>
      </c>
      <c r="R62" s="19">
        <v>1.1230124409553888</v>
      </c>
      <c r="S62" s="20">
        <v>44787</v>
      </c>
      <c r="T62" s="21">
        <v>0.41250000000000003</v>
      </c>
      <c r="U62" s="13">
        <f t="shared" si="4"/>
        <v>3</v>
      </c>
    </row>
    <row r="63" spans="1:21" x14ac:dyDescent="0.35">
      <c r="A63" t="str">
        <f t="shared" si="0"/>
        <v>ESTUDIO SEGUIMIENTO DESEMPEÑO AMBIENTAL ACUICULTURA EN CHILE Y SU EFECTO EN LOS ECOSISTEMAS DE EMPLAZAMIENTO 2022-2023</v>
      </c>
      <c r="B63" t="str">
        <f t="shared" si="1"/>
        <v>Objetivo 1. Actividad 2. Muestreos y Analisis sedimentos</v>
      </c>
      <c r="C63" t="str">
        <f t="shared" si="2"/>
        <v>Gastón Vidal</v>
      </c>
      <c r="D63" t="str">
        <f t="shared" si="3"/>
        <v>INSTITUTO DE FOMENTO PESQUERO</v>
      </c>
      <c r="E63" s="14" t="s">
        <v>36</v>
      </c>
      <c r="F63" s="15" t="s">
        <v>130</v>
      </c>
      <c r="G63" s="16">
        <v>6</v>
      </c>
      <c r="H63" s="17" t="s">
        <v>135</v>
      </c>
      <c r="I63" s="17" t="s">
        <v>136</v>
      </c>
      <c r="J63" s="19">
        <v>7.5066666666666668</v>
      </c>
      <c r="K63" s="24">
        <v>3.0550504633038766E-2</v>
      </c>
      <c r="L63" s="19">
        <v>9.3666666666666671</v>
      </c>
      <c r="M63" s="24">
        <v>0.11547005383792475</v>
      </c>
      <c r="N63" s="19">
        <v>109.46666666666665</v>
      </c>
      <c r="O63" s="24">
        <v>62.68543158767703</v>
      </c>
      <c r="P63" s="19">
        <v>64.301977725938045</v>
      </c>
      <c r="Q63" s="24">
        <v>94.24544548174454</v>
      </c>
      <c r="R63" s="19">
        <v>1.0646956011260529</v>
      </c>
      <c r="S63" s="20">
        <v>44787</v>
      </c>
      <c r="T63" s="21">
        <v>0.45763888888888887</v>
      </c>
      <c r="U63" s="13">
        <f t="shared" si="4"/>
        <v>6</v>
      </c>
    </row>
    <row r="64" spans="1:21" x14ac:dyDescent="0.35">
      <c r="A64" t="str">
        <f t="shared" si="0"/>
        <v>ESTUDIO SEGUIMIENTO DESEMPEÑO AMBIENTAL ACUICULTURA EN CHILE Y SU EFECTO EN LOS ECOSISTEMAS DE EMPLAZAMIENTO 2022-2023</v>
      </c>
      <c r="B64" t="str">
        <f t="shared" si="1"/>
        <v>Objetivo 1. Actividad 2. Muestreos y Analisis sedimentos</v>
      </c>
      <c r="C64" t="str">
        <f t="shared" si="2"/>
        <v>Gastón Vidal</v>
      </c>
      <c r="D64" t="str">
        <f t="shared" si="3"/>
        <v>INSTITUTO DE FOMENTO PESQUERO</v>
      </c>
      <c r="E64" s="14" t="s">
        <v>36</v>
      </c>
      <c r="F64" s="15" t="s">
        <v>130</v>
      </c>
      <c r="G64" s="16">
        <v>9</v>
      </c>
      <c r="H64" s="17" t="s">
        <v>137</v>
      </c>
      <c r="I64" s="17" t="s">
        <v>138</v>
      </c>
      <c r="J64" s="19">
        <v>7.4033333333333333</v>
      </c>
      <c r="K64" s="24">
        <v>6.0277137733417148E-2</v>
      </c>
      <c r="L64" s="19">
        <v>9.3333333333333339</v>
      </c>
      <c r="M64" s="24">
        <v>5.7735026918962373E-2</v>
      </c>
      <c r="N64" s="19">
        <v>184.16666666666666</v>
      </c>
      <c r="O64" s="24">
        <v>3.9106691669499889</v>
      </c>
      <c r="P64" s="19" t="s">
        <v>336</v>
      </c>
      <c r="Q64" s="24">
        <v>0</v>
      </c>
      <c r="R64" s="19">
        <v>0.85100671140941542</v>
      </c>
      <c r="S64" s="20">
        <v>44787</v>
      </c>
      <c r="T64" s="21">
        <v>0.44097222222222227</v>
      </c>
      <c r="U64" s="13">
        <f t="shared" si="4"/>
        <v>9</v>
      </c>
    </row>
    <row r="65" spans="1:21" x14ac:dyDescent="0.35">
      <c r="A65" t="str">
        <f t="shared" si="0"/>
        <v>ESTUDIO SEGUIMIENTO DESEMPEÑO AMBIENTAL ACUICULTURA EN CHILE Y SU EFECTO EN LOS ECOSISTEMAS DE EMPLAZAMIENTO 2022-2023</v>
      </c>
      <c r="B65" t="str">
        <f t="shared" si="1"/>
        <v>Objetivo 1. Actividad 2. Muestreos y Analisis sedimentos</v>
      </c>
      <c r="C65" t="str">
        <f t="shared" si="2"/>
        <v>Gastón Vidal</v>
      </c>
      <c r="D65" t="str">
        <f t="shared" si="3"/>
        <v>INSTITUTO DE FOMENTO PESQUERO</v>
      </c>
      <c r="E65" s="14" t="s">
        <v>36</v>
      </c>
      <c r="F65" s="15" t="s">
        <v>130</v>
      </c>
      <c r="G65" s="16">
        <v>14</v>
      </c>
      <c r="H65" s="17" t="s">
        <v>139</v>
      </c>
      <c r="I65" s="17" t="s">
        <v>140</v>
      </c>
      <c r="J65" s="19">
        <v>7.8566666666666665</v>
      </c>
      <c r="K65" s="24">
        <v>8.3864970836061092E-2</v>
      </c>
      <c r="L65" s="19">
        <v>9.7999999999999989</v>
      </c>
      <c r="M65" s="24">
        <v>0.17320508075688812</v>
      </c>
      <c r="N65" s="19">
        <v>109.93333333333334</v>
      </c>
      <c r="O65" s="24">
        <v>6.340609855000805</v>
      </c>
      <c r="P65" s="19" t="s">
        <v>336</v>
      </c>
      <c r="Q65" s="24">
        <v>0</v>
      </c>
      <c r="R65" s="19">
        <v>1.0216844627598225</v>
      </c>
      <c r="S65" s="20">
        <v>44785</v>
      </c>
      <c r="T65" s="21">
        <v>0.70833333333333337</v>
      </c>
      <c r="U65" s="13">
        <f t="shared" si="4"/>
        <v>14</v>
      </c>
    </row>
    <row r="66" spans="1:21" x14ac:dyDescent="0.35">
      <c r="A66" t="str">
        <f t="shared" si="0"/>
        <v>ESTUDIO SEGUIMIENTO DESEMPEÑO AMBIENTAL ACUICULTURA EN CHILE Y SU EFECTO EN LOS ECOSISTEMAS DE EMPLAZAMIENTO 2022-2023</v>
      </c>
      <c r="B66" t="str">
        <f t="shared" si="1"/>
        <v>Objetivo 1. Actividad 2. Muestreos y Analisis sedimentos</v>
      </c>
      <c r="C66" t="str">
        <f t="shared" si="2"/>
        <v>Gastón Vidal</v>
      </c>
      <c r="D66" t="str">
        <f t="shared" si="3"/>
        <v>INSTITUTO DE FOMENTO PESQUERO</v>
      </c>
      <c r="E66" s="14" t="s">
        <v>36</v>
      </c>
      <c r="F66" s="15" t="s">
        <v>141</v>
      </c>
      <c r="G66" s="16">
        <v>1</v>
      </c>
      <c r="H66" s="17" t="s">
        <v>142</v>
      </c>
      <c r="I66" s="17" t="s">
        <v>143</v>
      </c>
      <c r="J66" s="19">
        <v>7.2766666666666664</v>
      </c>
      <c r="K66" s="24">
        <v>0.10969655114602861</v>
      </c>
      <c r="L66" s="19">
        <v>9.4333333333333336</v>
      </c>
      <c r="M66" s="24">
        <v>0.11547005383792475</v>
      </c>
      <c r="N66" s="19">
        <v>172</v>
      </c>
      <c r="O66" s="24">
        <v>7.6393717019137082</v>
      </c>
      <c r="P66" s="19">
        <v>1.6666666666666666E-2</v>
      </c>
      <c r="Q66" s="24">
        <v>2.8867513459481291E-2</v>
      </c>
      <c r="R66" s="19">
        <v>1.6828000000000001</v>
      </c>
      <c r="S66" s="20">
        <v>44789</v>
      </c>
      <c r="T66" s="21">
        <v>0.67222222222222217</v>
      </c>
      <c r="U66" s="13">
        <f t="shared" si="4"/>
        <v>1</v>
      </c>
    </row>
    <row r="67" spans="1:21" x14ac:dyDescent="0.35">
      <c r="A67" t="str">
        <f t="shared" si="0"/>
        <v>ESTUDIO SEGUIMIENTO DESEMPEÑO AMBIENTAL ACUICULTURA EN CHILE Y SU EFECTO EN LOS ECOSISTEMAS DE EMPLAZAMIENTO 2022-2023</v>
      </c>
      <c r="B67" t="str">
        <f t="shared" si="1"/>
        <v>Objetivo 1. Actividad 2. Muestreos y Analisis sedimentos</v>
      </c>
      <c r="C67" t="str">
        <f t="shared" si="2"/>
        <v>Gastón Vidal</v>
      </c>
      <c r="D67" t="str">
        <f t="shared" si="3"/>
        <v>INSTITUTO DE FOMENTO PESQUERO</v>
      </c>
      <c r="E67" s="14" t="s">
        <v>36</v>
      </c>
      <c r="F67" s="15" t="s">
        <v>141</v>
      </c>
      <c r="G67" s="16">
        <v>4</v>
      </c>
      <c r="H67" s="17" t="s">
        <v>144</v>
      </c>
      <c r="I67" s="17" t="s">
        <v>145</v>
      </c>
      <c r="J67" s="19">
        <v>7.66</v>
      </c>
      <c r="K67" s="24">
        <v>0.28827070610799116</v>
      </c>
      <c r="L67" s="19">
        <v>9.5666666666666664</v>
      </c>
      <c r="M67" s="24">
        <v>5.7735026918962373E-2</v>
      </c>
      <c r="N67" s="19">
        <v>100.43333333333332</v>
      </c>
      <c r="O67" s="24">
        <v>52.367292591209406</v>
      </c>
      <c r="P67" s="19">
        <v>1.6666666666666666E-2</v>
      </c>
      <c r="Q67" s="24">
        <v>2.8867513459481291E-2</v>
      </c>
      <c r="R67" s="19">
        <v>0.9698</v>
      </c>
      <c r="S67" s="20">
        <v>44789</v>
      </c>
      <c r="T67" s="21">
        <v>0.56874999999999998</v>
      </c>
      <c r="U67" s="13">
        <f t="shared" si="4"/>
        <v>4</v>
      </c>
    </row>
    <row r="68" spans="1:21" x14ac:dyDescent="0.35">
      <c r="A68" t="str">
        <f t="shared" si="0"/>
        <v>ESTUDIO SEGUIMIENTO DESEMPEÑO AMBIENTAL ACUICULTURA EN CHILE Y SU EFECTO EN LOS ECOSISTEMAS DE EMPLAZAMIENTO 2022-2023</v>
      </c>
      <c r="B68" t="str">
        <f t="shared" si="1"/>
        <v>Objetivo 1. Actividad 2. Muestreos y Analisis sedimentos</v>
      </c>
      <c r="C68" t="str">
        <f t="shared" si="2"/>
        <v>Gastón Vidal</v>
      </c>
      <c r="D68" t="str">
        <f t="shared" si="3"/>
        <v>INSTITUTO DE FOMENTO PESQUERO</v>
      </c>
      <c r="E68" s="14" t="s">
        <v>36</v>
      </c>
      <c r="F68" s="15" t="s">
        <v>141</v>
      </c>
      <c r="G68" s="16">
        <v>6</v>
      </c>
      <c r="H68" s="17" t="s">
        <v>146</v>
      </c>
      <c r="I68" s="17" t="s">
        <v>147</v>
      </c>
      <c r="J68" s="19">
        <v>7.4600000000000009</v>
      </c>
      <c r="K68" s="24">
        <v>4.3588989435406823E-2</v>
      </c>
      <c r="L68" s="19">
        <v>9.7999999999999989</v>
      </c>
      <c r="M68" s="24">
        <v>0.26457513110645914</v>
      </c>
      <c r="N68" s="19">
        <v>64.733333333333334</v>
      </c>
      <c r="O68" s="24">
        <v>6.5248243909957777</v>
      </c>
      <c r="P68" s="19">
        <v>2.9733333333333332</v>
      </c>
      <c r="Q68" s="24">
        <v>2.6060378610705817</v>
      </c>
      <c r="R68" s="19">
        <v>0.74809999999999999</v>
      </c>
      <c r="S68" s="20">
        <v>44789</v>
      </c>
      <c r="T68" s="21">
        <v>0.55555555555555558</v>
      </c>
      <c r="U68" s="13">
        <f t="shared" si="4"/>
        <v>6</v>
      </c>
    </row>
    <row r="69" spans="1:21" x14ac:dyDescent="0.35">
      <c r="A69" t="str">
        <f t="shared" si="0"/>
        <v>ESTUDIO SEGUIMIENTO DESEMPEÑO AMBIENTAL ACUICULTURA EN CHILE Y SU EFECTO EN LOS ECOSISTEMAS DE EMPLAZAMIENTO 2022-2023</v>
      </c>
      <c r="B69" t="str">
        <f t="shared" si="1"/>
        <v>Objetivo 1. Actividad 2. Muestreos y Analisis sedimentos</v>
      </c>
      <c r="C69" t="str">
        <f t="shared" si="2"/>
        <v>Gastón Vidal</v>
      </c>
      <c r="D69" t="str">
        <f t="shared" si="3"/>
        <v>INSTITUTO DE FOMENTO PESQUERO</v>
      </c>
      <c r="E69" s="14" t="s">
        <v>36</v>
      </c>
      <c r="F69" s="15" t="s">
        <v>141</v>
      </c>
      <c r="G69" s="16">
        <v>7</v>
      </c>
      <c r="H69" s="17" t="s">
        <v>148</v>
      </c>
      <c r="I69" s="17" t="s">
        <v>149</v>
      </c>
      <c r="J69" s="19">
        <v>7.4200000000000008</v>
      </c>
      <c r="K69" s="24">
        <v>0.12165525060596435</v>
      </c>
      <c r="L69" s="19">
        <v>9.4333333333333318</v>
      </c>
      <c r="M69" s="24">
        <v>5.7735026918962373E-2</v>
      </c>
      <c r="N69" s="19">
        <v>219.16666666666666</v>
      </c>
      <c r="O69" s="24">
        <v>3.7819747927945437</v>
      </c>
      <c r="P69" s="19">
        <v>0.61</v>
      </c>
      <c r="Q69" s="24">
        <v>0.84184321580683907</v>
      </c>
      <c r="R69" s="19">
        <v>0.76749999999999996</v>
      </c>
      <c r="S69" s="20">
        <v>44787</v>
      </c>
      <c r="T69" s="21">
        <v>0.52430555555555558</v>
      </c>
      <c r="U69" s="13">
        <f t="shared" si="4"/>
        <v>7</v>
      </c>
    </row>
    <row r="70" spans="1:21" x14ac:dyDescent="0.35">
      <c r="A70" t="str">
        <f t="shared" si="0"/>
        <v>ESTUDIO SEGUIMIENTO DESEMPEÑO AMBIENTAL ACUICULTURA EN CHILE Y SU EFECTO EN LOS ECOSISTEMAS DE EMPLAZAMIENTO 2022-2023</v>
      </c>
      <c r="B70" t="str">
        <f t="shared" si="1"/>
        <v>Objetivo 1. Actividad 2. Muestreos y Analisis sedimentos</v>
      </c>
      <c r="C70" t="str">
        <f t="shared" si="2"/>
        <v>Gastón Vidal</v>
      </c>
      <c r="D70" t="str">
        <f t="shared" si="3"/>
        <v>INSTITUTO DE FOMENTO PESQUERO</v>
      </c>
      <c r="E70" s="14" t="s">
        <v>36</v>
      </c>
      <c r="F70" s="15" t="s">
        <v>141</v>
      </c>
      <c r="G70" s="16">
        <v>11</v>
      </c>
      <c r="H70" s="17" t="s">
        <v>150</v>
      </c>
      <c r="I70" s="17" t="s">
        <v>151</v>
      </c>
      <c r="J70" s="19">
        <v>7.54</v>
      </c>
      <c r="K70" s="24">
        <v>0.26229754097208025</v>
      </c>
      <c r="L70" s="19">
        <v>9.5333333333333332</v>
      </c>
      <c r="M70" s="24">
        <v>5.7735026918962373E-2</v>
      </c>
      <c r="N70" s="19">
        <v>169.46666666666667</v>
      </c>
      <c r="O70" s="24">
        <v>62.619991483018772</v>
      </c>
      <c r="P70" s="19">
        <v>8.2733333333333334</v>
      </c>
      <c r="Q70" s="24">
        <v>5.2754178349523464</v>
      </c>
      <c r="R70" s="19">
        <v>0.94369999999999998</v>
      </c>
      <c r="S70" s="20">
        <v>44787</v>
      </c>
      <c r="T70" s="21">
        <v>0.56388888888888888</v>
      </c>
      <c r="U70" s="13">
        <f t="shared" si="4"/>
        <v>11</v>
      </c>
    </row>
    <row r="71" spans="1:21" x14ac:dyDescent="0.35">
      <c r="A71" t="str">
        <f t="shared" si="0"/>
        <v>ESTUDIO SEGUIMIENTO DESEMPEÑO AMBIENTAL ACUICULTURA EN CHILE Y SU EFECTO EN LOS ECOSISTEMAS DE EMPLAZAMIENTO 2022-2023</v>
      </c>
      <c r="B71" t="str">
        <f t="shared" si="1"/>
        <v>Objetivo 1. Actividad 2. Muestreos y Analisis sedimentos</v>
      </c>
      <c r="C71" t="str">
        <f t="shared" si="2"/>
        <v>Gastón Vidal</v>
      </c>
      <c r="D71" t="str">
        <f t="shared" si="3"/>
        <v>INSTITUTO DE FOMENTO PESQUERO</v>
      </c>
      <c r="E71" s="14" t="s">
        <v>36</v>
      </c>
      <c r="F71" s="15" t="s">
        <v>141</v>
      </c>
      <c r="G71" s="16">
        <v>12</v>
      </c>
      <c r="H71" s="17" t="s">
        <v>152</v>
      </c>
      <c r="I71" s="17" t="s">
        <v>153</v>
      </c>
      <c r="J71" s="19">
        <v>7.62</v>
      </c>
      <c r="K71" s="24">
        <v>6.0827625302982434E-2</v>
      </c>
      <c r="L71" s="19">
        <v>9.2666666666666675</v>
      </c>
      <c r="M71" s="24">
        <v>5.77350269189634E-2</v>
      </c>
      <c r="N71" s="19">
        <v>202.5</v>
      </c>
      <c r="O71" s="24">
        <v>58.814368992619521</v>
      </c>
      <c r="P71" s="19">
        <v>0.25666666666666665</v>
      </c>
      <c r="Q71" s="24">
        <v>0.2367136103677466</v>
      </c>
      <c r="R71" s="19">
        <v>0.85360000000000003</v>
      </c>
      <c r="S71" s="20">
        <v>44787</v>
      </c>
      <c r="T71" s="21">
        <v>0.60416666666666663</v>
      </c>
      <c r="U71" s="13">
        <f t="shared" si="4"/>
        <v>12</v>
      </c>
    </row>
    <row r="72" spans="1:21" x14ac:dyDescent="0.35">
      <c r="A72" t="str">
        <f t="shared" si="0"/>
        <v>ESTUDIO SEGUIMIENTO DESEMPEÑO AMBIENTAL ACUICULTURA EN CHILE Y SU EFECTO EN LOS ECOSISTEMAS DE EMPLAZAMIENTO 2022-2023</v>
      </c>
      <c r="B72" t="str">
        <f t="shared" si="1"/>
        <v>Objetivo 1. Actividad 2. Muestreos y Analisis sedimentos</v>
      </c>
      <c r="C72" t="str">
        <f t="shared" si="2"/>
        <v>Gastón Vidal</v>
      </c>
      <c r="D72" t="str">
        <f t="shared" si="3"/>
        <v>INSTITUTO DE FOMENTO PESQUERO</v>
      </c>
      <c r="E72" s="14" t="s">
        <v>36</v>
      </c>
      <c r="F72" s="15" t="s">
        <v>141</v>
      </c>
      <c r="G72" s="16">
        <v>16</v>
      </c>
      <c r="H72" s="17" t="s">
        <v>154</v>
      </c>
      <c r="I72" s="17" t="s">
        <v>155</v>
      </c>
      <c r="J72" s="19">
        <v>7.3433333333333337</v>
      </c>
      <c r="K72" s="24">
        <v>0.1550268793897796</v>
      </c>
      <c r="L72" s="19">
        <v>9.3333333333333339</v>
      </c>
      <c r="M72" s="24">
        <v>0.45092497528228959</v>
      </c>
      <c r="N72" s="19">
        <v>179.79999999999998</v>
      </c>
      <c r="O72" s="24">
        <v>21.910499766093881</v>
      </c>
      <c r="P72" s="19" t="s">
        <v>336</v>
      </c>
      <c r="Q72" s="24">
        <v>0</v>
      </c>
      <c r="R72" s="19">
        <v>0.87960000000000005</v>
      </c>
      <c r="S72" s="20">
        <v>44790</v>
      </c>
      <c r="T72" s="21">
        <v>0.40763888888888888</v>
      </c>
      <c r="U72" s="13">
        <f t="shared" si="4"/>
        <v>16</v>
      </c>
    </row>
    <row r="73" spans="1:21" x14ac:dyDescent="0.35">
      <c r="A73" t="str">
        <f t="shared" si="0"/>
        <v>ESTUDIO SEGUIMIENTO DESEMPEÑO AMBIENTAL ACUICULTURA EN CHILE Y SU EFECTO EN LOS ECOSISTEMAS DE EMPLAZAMIENTO 2022-2023</v>
      </c>
      <c r="B73" t="str">
        <f t="shared" si="1"/>
        <v>Objetivo 1. Actividad 2. Muestreos y Analisis sedimentos</v>
      </c>
      <c r="C73" t="str">
        <f t="shared" si="2"/>
        <v>Gastón Vidal</v>
      </c>
      <c r="D73" t="str">
        <f t="shared" si="3"/>
        <v>INSTITUTO DE FOMENTO PESQUERO</v>
      </c>
      <c r="E73" s="14" t="s">
        <v>36</v>
      </c>
      <c r="F73" s="15" t="s">
        <v>141</v>
      </c>
      <c r="G73" s="16">
        <v>26</v>
      </c>
      <c r="H73" s="17" t="s">
        <v>156</v>
      </c>
      <c r="I73" s="17" t="s">
        <v>157</v>
      </c>
      <c r="J73" s="19">
        <v>7.8266666666666671</v>
      </c>
      <c r="K73" s="24">
        <v>8.504900548115378E-2</v>
      </c>
      <c r="L73" s="19">
        <v>9.2000000000000011</v>
      </c>
      <c r="M73" s="24">
        <v>0.17320508075688815</v>
      </c>
      <c r="N73" s="19">
        <v>196.86666666666665</v>
      </c>
      <c r="O73" s="24">
        <v>2.9569128044860054</v>
      </c>
      <c r="P73" s="19" t="s">
        <v>336</v>
      </c>
      <c r="Q73" s="24">
        <v>0</v>
      </c>
      <c r="R73" s="19">
        <v>0.69410000000000005</v>
      </c>
      <c r="S73" s="20">
        <v>44787</v>
      </c>
      <c r="T73" s="21">
        <v>0.6381944444444444</v>
      </c>
      <c r="U73" s="13">
        <f t="shared" si="4"/>
        <v>26</v>
      </c>
    </row>
    <row r="74" spans="1:21" x14ac:dyDescent="0.35">
      <c r="A74" t="str">
        <f t="shared" si="0"/>
        <v>ESTUDIO SEGUIMIENTO DESEMPEÑO AMBIENTAL ACUICULTURA EN CHILE Y SU EFECTO EN LOS ECOSISTEMAS DE EMPLAZAMIENTO 2022-2023</v>
      </c>
      <c r="B74" t="str">
        <f t="shared" si="1"/>
        <v>Objetivo 1. Actividad 2. Muestreos y Analisis sedimentos</v>
      </c>
      <c r="C74" t="str">
        <f t="shared" si="2"/>
        <v>Gastón Vidal</v>
      </c>
      <c r="D74" t="str">
        <f t="shared" si="3"/>
        <v>INSTITUTO DE FOMENTO PESQUERO</v>
      </c>
      <c r="E74" s="14" t="s">
        <v>36</v>
      </c>
      <c r="F74" s="15" t="s">
        <v>158</v>
      </c>
      <c r="G74" s="16">
        <v>1</v>
      </c>
      <c r="H74" s="17" t="s">
        <v>159</v>
      </c>
      <c r="I74" s="17" t="s">
        <v>160</v>
      </c>
      <c r="J74" s="19">
        <v>7.5233333333333334</v>
      </c>
      <c r="K74" s="24">
        <v>0.18036999011291593</v>
      </c>
      <c r="L74" s="19">
        <v>10.866666666666667</v>
      </c>
      <c r="M74" s="24">
        <v>0.25166114784235838</v>
      </c>
      <c r="N74" s="19">
        <v>122.53333333333335</v>
      </c>
      <c r="O74" s="24">
        <v>48.708965636044205</v>
      </c>
      <c r="P74" s="19">
        <v>20.054349778108659</v>
      </c>
      <c r="Q74" s="24">
        <v>15.637719534856776</v>
      </c>
      <c r="R74" s="19">
        <v>0.70759404772946977</v>
      </c>
      <c r="S74" s="20">
        <v>44855</v>
      </c>
      <c r="T74" s="21">
        <v>0.55555555555555558</v>
      </c>
      <c r="U74" s="13">
        <f t="shared" si="4"/>
        <v>1</v>
      </c>
    </row>
    <row r="75" spans="1:21" x14ac:dyDescent="0.35">
      <c r="A75" t="str">
        <f t="shared" si="0"/>
        <v>ESTUDIO SEGUIMIENTO DESEMPEÑO AMBIENTAL ACUICULTURA EN CHILE Y SU EFECTO EN LOS ECOSISTEMAS DE EMPLAZAMIENTO 2022-2023</v>
      </c>
      <c r="B75" t="str">
        <f t="shared" si="1"/>
        <v>Objetivo 1. Actividad 2. Muestreos y Analisis sedimentos</v>
      </c>
      <c r="C75" t="str">
        <f t="shared" si="2"/>
        <v>Gastón Vidal</v>
      </c>
      <c r="D75" t="str">
        <f t="shared" si="3"/>
        <v>INSTITUTO DE FOMENTO PESQUERO</v>
      </c>
      <c r="E75" s="14" t="s">
        <v>36</v>
      </c>
      <c r="F75" s="15" t="s">
        <v>158</v>
      </c>
      <c r="G75" s="16">
        <v>2</v>
      </c>
      <c r="H75" s="17" t="s">
        <v>161</v>
      </c>
      <c r="I75" s="17" t="s">
        <v>162</v>
      </c>
      <c r="J75" s="19">
        <v>7.456666666666667</v>
      </c>
      <c r="K75" s="24">
        <v>9.8657657246325178E-2</v>
      </c>
      <c r="L75" s="19">
        <v>11.233333333333334</v>
      </c>
      <c r="M75" s="24">
        <v>0.15275252316519508</v>
      </c>
      <c r="N75" s="19">
        <v>344.0333333333333</v>
      </c>
      <c r="O75" s="24">
        <v>4.7247574893674065</v>
      </c>
      <c r="P75" s="19">
        <v>1.0202702052216324</v>
      </c>
      <c r="Q75" s="24">
        <v>0.2846490490320116</v>
      </c>
      <c r="R75" s="19">
        <v>0.84915153770864926</v>
      </c>
      <c r="S75" s="20">
        <v>44855</v>
      </c>
      <c r="T75" s="21">
        <v>0.58958333333333335</v>
      </c>
      <c r="U75" s="13">
        <f t="shared" si="4"/>
        <v>2</v>
      </c>
    </row>
    <row r="76" spans="1:21" x14ac:dyDescent="0.35">
      <c r="A76" t="str">
        <f t="shared" si="0"/>
        <v>ESTUDIO SEGUIMIENTO DESEMPEÑO AMBIENTAL ACUICULTURA EN CHILE Y SU EFECTO EN LOS ECOSISTEMAS DE EMPLAZAMIENTO 2022-2023</v>
      </c>
      <c r="B76" t="str">
        <f t="shared" si="1"/>
        <v>Objetivo 1. Actividad 2. Muestreos y Analisis sedimentos</v>
      </c>
      <c r="C76" t="str">
        <f t="shared" si="2"/>
        <v>Gastón Vidal</v>
      </c>
      <c r="D76" t="str">
        <f t="shared" si="3"/>
        <v>INSTITUTO DE FOMENTO PESQUERO</v>
      </c>
      <c r="E76" s="14" t="s">
        <v>36</v>
      </c>
      <c r="F76" s="15" t="s">
        <v>158</v>
      </c>
      <c r="G76" s="16">
        <v>3</v>
      </c>
      <c r="H76" s="17" t="s">
        <v>163</v>
      </c>
      <c r="I76" s="17" t="s">
        <v>164</v>
      </c>
      <c r="J76" s="19">
        <v>7.3266666666666671</v>
      </c>
      <c r="K76" s="24">
        <v>4.725815626252608E-2</v>
      </c>
      <c r="L76" s="19">
        <v>10.800000000000002</v>
      </c>
      <c r="M76" s="24">
        <v>0.10000000000000053</v>
      </c>
      <c r="N76" s="19">
        <v>339.63333333333333</v>
      </c>
      <c r="O76" s="24">
        <v>22.566420481178081</v>
      </c>
      <c r="P76" s="19">
        <v>1.1797559214419855</v>
      </c>
      <c r="Q76" s="24">
        <v>0.77564630596855288</v>
      </c>
      <c r="R76" s="19">
        <v>0.65683242562743649</v>
      </c>
      <c r="S76" s="20">
        <v>44855</v>
      </c>
      <c r="T76" s="21">
        <v>0.61250000000000004</v>
      </c>
      <c r="U76" s="13">
        <f t="shared" si="4"/>
        <v>3</v>
      </c>
    </row>
    <row r="77" spans="1:21" x14ac:dyDescent="0.35">
      <c r="A77" t="str">
        <f t="shared" si="0"/>
        <v>ESTUDIO SEGUIMIENTO DESEMPEÑO AMBIENTAL ACUICULTURA EN CHILE Y SU EFECTO EN LOS ECOSISTEMAS DE EMPLAZAMIENTO 2022-2023</v>
      </c>
      <c r="B77" t="str">
        <f t="shared" si="1"/>
        <v>Objetivo 1. Actividad 2. Muestreos y Analisis sedimentos</v>
      </c>
      <c r="C77" t="str">
        <f t="shared" si="2"/>
        <v>Gastón Vidal</v>
      </c>
      <c r="D77" t="str">
        <f t="shared" si="3"/>
        <v>INSTITUTO DE FOMENTO PESQUERO</v>
      </c>
      <c r="E77" s="14" t="s">
        <v>36</v>
      </c>
      <c r="F77" s="15" t="s">
        <v>158</v>
      </c>
      <c r="G77" s="16">
        <v>6</v>
      </c>
      <c r="H77" s="17" t="s">
        <v>165</v>
      </c>
      <c r="I77" s="17" t="s">
        <v>166</v>
      </c>
      <c r="J77" s="19">
        <v>7.2733333333333334</v>
      </c>
      <c r="K77" s="24">
        <v>0.14047538337136997</v>
      </c>
      <c r="L77" s="19">
        <v>10.466666666666667</v>
      </c>
      <c r="M77" s="24">
        <v>0.11547005383792475</v>
      </c>
      <c r="N77" s="19">
        <v>308.66666666666669</v>
      </c>
      <c r="O77" s="24">
        <v>18.858508247826339</v>
      </c>
      <c r="P77" s="19" t="s">
        <v>336</v>
      </c>
      <c r="Q77" s="24">
        <v>0</v>
      </c>
      <c r="R77" s="19">
        <v>0.76081853580403025</v>
      </c>
      <c r="S77" s="20">
        <v>44855</v>
      </c>
      <c r="T77" s="21">
        <v>0.66180555555555554</v>
      </c>
      <c r="U77" s="13">
        <f t="shared" si="4"/>
        <v>6</v>
      </c>
    </row>
    <row r="78" spans="1:21" x14ac:dyDescent="0.35">
      <c r="A78" t="str">
        <f t="shared" si="0"/>
        <v>ESTUDIO SEGUIMIENTO DESEMPEÑO AMBIENTAL ACUICULTURA EN CHILE Y SU EFECTO EN LOS ECOSISTEMAS DE EMPLAZAMIENTO 2022-2023</v>
      </c>
      <c r="B78" t="str">
        <f t="shared" si="1"/>
        <v>Objetivo 1. Actividad 2. Muestreos y Analisis sedimentos</v>
      </c>
      <c r="C78" t="str">
        <f t="shared" si="2"/>
        <v>Gastón Vidal</v>
      </c>
      <c r="D78" t="str">
        <f t="shared" si="3"/>
        <v>INSTITUTO DE FOMENTO PESQUERO</v>
      </c>
      <c r="E78" s="14" t="s">
        <v>36</v>
      </c>
      <c r="F78" s="15" t="s">
        <v>167</v>
      </c>
      <c r="G78" s="16">
        <v>6</v>
      </c>
      <c r="H78" s="17" t="s">
        <v>168</v>
      </c>
      <c r="I78" s="17" t="s">
        <v>169</v>
      </c>
      <c r="J78" s="19">
        <v>7.5733333333333333</v>
      </c>
      <c r="K78" s="24">
        <v>6.5064070986477054E-2</v>
      </c>
      <c r="L78" s="19">
        <v>9.6333333333333329</v>
      </c>
      <c r="M78" s="24">
        <v>0.15275252316519508</v>
      </c>
      <c r="N78" s="19">
        <v>484.73333333333335</v>
      </c>
      <c r="O78" s="24">
        <v>24.964040805393147</v>
      </c>
      <c r="P78" s="19">
        <v>33.876666666666665</v>
      </c>
      <c r="Q78" s="24">
        <v>58.433788456109305</v>
      </c>
      <c r="R78" s="19">
        <v>0.95789999999999997</v>
      </c>
      <c r="S78" s="20">
        <v>44793</v>
      </c>
      <c r="T78" s="21">
        <v>0.46666666666666662</v>
      </c>
      <c r="U78" s="13">
        <f t="shared" si="4"/>
        <v>6</v>
      </c>
    </row>
    <row r="79" spans="1:21" x14ac:dyDescent="0.35">
      <c r="A79" t="str">
        <f t="shared" si="0"/>
        <v>ESTUDIO SEGUIMIENTO DESEMPEÑO AMBIENTAL ACUICULTURA EN CHILE Y SU EFECTO EN LOS ECOSISTEMAS DE EMPLAZAMIENTO 2022-2023</v>
      </c>
      <c r="B79" t="str">
        <f t="shared" si="1"/>
        <v>Objetivo 1. Actividad 2. Muestreos y Analisis sedimentos</v>
      </c>
      <c r="C79" t="str">
        <f t="shared" si="2"/>
        <v>Gastón Vidal</v>
      </c>
      <c r="D79" t="str">
        <f t="shared" si="3"/>
        <v>INSTITUTO DE FOMENTO PESQUERO</v>
      </c>
      <c r="E79" s="14" t="s">
        <v>36</v>
      </c>
      <c r="F79" s="15" t="s">
        <v>167</v>
      </c>
      <c r="G79" s="16">
        <v>8</v>
      </c>
      <c r="H79" s="17" t="s">
        <v>170</v>
      </c>
      <c r="I79" s="17" t="s">
        <v>171</v>
      </c>
      <c r="J79" s="19">
        <v>7.5266666666666664</v>
      </c>
      <c r="K79" s="24">
        <v>4.725815626252608E-2</v>
      </c>
      <c r="L79" s="19">
        <v>9.8000000000000007</v>
      </c>
      <c r="M79" s="24">
        <v>0.10000000000000053</v>
      </c>
      <c r="N79" s="19">
        <v>51.133333333333326</v>
      </c>
      <c r="O79" s="24">
        <v>46.986842129827501</v>
      </c>
      <c r="P79" s="19">
        <v>83.39</v>
      </c>
      <c r="Q79" s="24">
        <v>24.644417217698606</v>
      </c>
      <c r="R79" s="19">
        <v>11.045999999999999</v>
      </c>
      <c r="S79" s="20">
        <v>44793</v>
      </c>
      <c r="T79" s="21">
        <v>0.43472222222222223</v>
      </c>
      <c r="U79" s="13">
        <f t="shared" si="4"/>
        <v>8</v>
      </c>
    </row>
    <row r="80" spans="1:21" x14ac:dyDescent="0.35">
      <c r="A80" t="str">
        <f t="shared" si="0"/>
        <v>ESTUDIO SEGUIMIENTO DESEMPEÑO AMBIENTAL ACUICULTURA EN CHILE Y SU EFECTO EN LOS ECOSISTEMAS DE EMPLAZAMIENTO 2022-2023</v>
      </c>
      <c r="B80" t="str">
        <f t="shared" si="1"/>
        <v>Objetivo 1. Actividad 2. Muestreos y Analisis sedimentos</v>
      </c>
      <c r="C80" t="str">
        <f t="shared" si="2"/>
        <v>Gastón Vidal</v>
      </c>
      <c r="D80" t="str">
        <f t="shared" si="3"/>
        <v>INSTITUTO DE FOMENTO PESQUERO</v>
      </c>
      <c r="E80" s="14" t="s">
        <v>36</v>
      </c>
      <c r="F80" s="15" t="s">
        <v>167</v>
      </c>
      <c r="G80" s="16">
        <v>11</v>
      </c>
      <c r="H80" s="17" t="s">
        <v>172</v>
      </c>
      <c r="I80" s="17" t="s">
        <v>173</v>
      </c>
      <c r="J80" s="19">
        <v>7.52</v>
      </c>
      <c r="K80" s="24">
        <v>0.20074859899884742</v>
      </c>
      <c r="L80" s="19">
        <v>9.6333333333333329</v>
      </c>
      <c r="M80" s="24">
        <v>5.7735026918962373E-2</v>
      </c>
      <c r="N80" s="19">
        <v>455.40000000000003</v>
      </c>
      <c r="O80" s="24">
        <v>29.323881052821115</v>
      </c>
      <c r="P80" s="19">
        <v>13.193333333333333</v>
      </c>
      <c r="Q80" s="24">
        <v>11.262026164653204</v>
      </c>
      <c r="R80" s="19">
        <v>1.1990000000000001</v>
      </c>
      <c r="S80" s="20">
        <v>44793</v>
      </c>
      <c r="T80" s="21">
        <v>0.40972222222222227</v>
      </c>
      <c r="U80" s="13">
        <f t="shared" si="4"/>
        <v>11</v>
      </c>
    </row>
    <row r="81" spans="1:21" x14ac:dyDescent="0.35">
      <c r="A81" t="str">
        <f t="shared" si="0"/>
        <v>ESTUDIO SEGUIMIENTO DESEMPEÑO AMBIENTAL ACUICULTURA EN CHILE Y SU EFECTO EN LOS ECOSISTEMAS DE EMPLAZAMIENTO 2022-2023</v>
      </c>
      <c r="B81" t="str">
        <f t="shared" si="1"/>
        <v>Objetivo 1. Actividad 2. Muestreos y Analisis sedimentos</v>
      </c>
      <c r="C81" t="str">
        <f t="shared" si="2"/>
        <v>Gastón Vidal</v>
      </c>
      <c r="D81" t="str">
        <f t="shared" si="3"/>
        <v>INSTITUTO DE FOMENTO PESQUERO</v>
      </c>
      <c r="E81" s="14" t="s">
        <v>36</v>
      </c>
      <c r="F81" s="15" t="s">
        <v>167</v>
      </c>
      <c r="G81" s="16">
        <v>12</v>
      </c>
      <c r="H81" s="17" t="s">
        <v>174</v>
      </c>
      <c r="I81" s="17" t="s">
        <v>175</v>
      </c>
      <c r="J81" s="19">
        <v>7.4933333333333332</v>
      </c>
      <c r="K81" s="24">
        <v>9.6090235369330687E-2</v>
      </c>
      <c r="L81" s="19">
        <v>9.6</v>
      </c>
      <c r="M81" s="24">
        <v>0.20000000000000018</v>
      </c>
      <c r="N81" s="19">
        <v>478.96666666666664</v>
      </c>
      <c r="O81" s="24">
        <v>120.50860273579377</v>
      </c>
      <c r="P81" s="19">
        <v>79.649999999999991</v>
      </c>
      <c r="Q81" s="24">
        <v>36.225870589952734</v>
      </c>
      <c r="R81" s="19">
        <v>1.5589999999999999</v>
      </c>
      <c r="S81" s="20">
        <v>44793</v>
      </c>
      <c r="T81" s="21">
        <v>0.37847222222222227</v>
      </c>
      <c r="U81" s="13">
        <f t="shared" si="4"/>
        <v>12</v>
      </c>
    </row>
    <row r="82" spans="1:21" x14ac:dyDescent="0.35">
      <c r="A82" t="str">
        <f t="shared" ref="A82:A145" si="5">$B$1</f>
        <v>ESTUDIO SEGUIMIENTO DESEMPEÑO AMBIENTAL ACUICULTURA EN CHILE Y SU EFECTO EN LOS ECOSISTEMAS DE EMPLAZAMIENTO 2022-2023</v>
      </c>
      <c r="B82" t="str">
        <f t="shared" ref="B82:B145" si="6">$B$2</f>
        <v>Objetivo 1. Actividad 2. Muestreos y Analisis sedimentos</v>
      </c>
      <c r="C82" t="str">
        <f t="shared" ref="C82:C145" si="7">$B$3</f>
        <v>Gastón Vidal</v>
      </c>
      <c r="D82" t="str">
        <f t="shared" ref="D82:D145" si="8">$B$4</f>
        <v>INSTITUTO DE FOMENTO PESQUERO</v>
      </c>
      <c r="E82" s="14" t="s">
        <v>36</v>
      </c>
      <c r="F82" s="15" t="s">
        <v>167</v>
      </c>
      <c r="G82" s="16">
        <v>13</v>
      </c>
      <c r="H82" s="17" t="s">
        <v>176</v>
      </c>
      <c r="I82" s="17" t="s">
        <v>177</v>
      </c>
      <c r="J82" s="19">
        <v>6.9733333333333336</v>
      </c>
      <c r="K82" s="24">
        <v>6.5064070986477068E-2</v>
      </c>
      <c r="L82" s="19">
        <v>9.5</v>
      </c>
      <c r="M82" s="24">
        <v>9.9999999999999645E-2</v>
      </c>
      <c r="N82" s="19">
        <v>427.16666666666669</v>
      </c>
      <c r="O82" s="24">
        <v>20.938083325207508</v>
      </c>
      <c r="P82" s="19">
        <v>54.430000000000007</v>
      </c>
      <c r="Q82" s="24">
        <v>12.916946233533642</v>
      </c>
      <c r="R82" s="19">
        <v>1.4918</v>
      </c>
      <c r="S82" s="20">
        <v>44793</v>
      </c>
      <c r="T82" s="21">
        <v>0.34722222222222227</v>
      </c>
      <c r="U82" s="13">
        <f t="shared" ref="U82:U145" si="9">G82</f>
        <v>13</v>
      </c>
    </row>
    <row r="83" spans="1:21" x14ac:dyDescent="0.35">
      <c r="A83" t="str">
        <f t="shared" si="5"/>
        <v>ESTUDIO SEGUIMIENTO DESEMPEÑO AMBIENTAL ACUICULTURA EN CHILE Y SU EFECTO EN LOS ECOSISTEMAS DE EMPLAZAMIENTO 2022-2023</v>
      </c>
      <c r="B83" t="str">
        <f t="shared" si="6"/>
        <v>Objetivo 1. Actividad 2. Muestreos y Analisis sedimentos</v>
      </c>
      <c r="C83" t="str">
        <f t="shared" si="7"/>
        <v>Gastón Vidal</v>
      </c>
      <c r="D83" t="str">
        <f t="shared" si="8"/>
        <v>INSTITUTO DE FOMENTO PESQUERO</v>
      </c>
      <c r="E83" s="14" t="s">
        <v>36</v>
      </c>
      <c r="F83" s="15" t="s">
        <v>167</v>
      </c>
      <c r="G83" s="16">
        <v>19</v>
      </c>
      <c r="H83" s="17" t="s">
        <v>178</v>
      </c>
      <c r="I83" s="17" t="s">
        <v>179</v>
      </c>
      <c r="J83" s="19">
        <v>7.5266666666666664</v>
      </c>
      <c r="K83" s="24">
        <v>1.5275252316519626E-2</v>
      </c>
      <c r="L83" s="19">
        <v>9.2333333333333325</v>
      </c>
      <c r="M83" s="24">
        <v>5.77350269189634E-2</v>
      </c>
      <c r="N83" s="19">
        <v>135.13333333333335</v>
      </c>
      <c r="O83" s="24">
        <v>9.3852721502007306</v>
      </c>
      <c r="P83" s="19" t="s">
        <v>336</v>
      </c>
      <c r="Q83" s="24">
        <v>0</v>
      </c>
      <c r="R83" s="19">
        <v>0.84630000000000005</v>
      </c>
      <c r="S83" s="20">
        <v>44791</v>
      </c>
      <c r="T83" s="21">
        <v>0.60416666666666663</v>
      </c>
      <c r="U83" s="13">
        <f t="shared" si="9"/>
        <v>19</v>
      </c>
    </row>
    <row r="84" spans="1:21" x14ac:dyDescent="0.35">
      <c r="A84" t="str">
        <f t="shared" si="5"/>
        <v>ESTUDIO SEGUIMIENTO DESEMPEÑO AMBIENTAL ACUICULTURA EN CHILE Y SU EFECTO EN LOS ECOSISTEMAS DE EMPLAZAMIENTO 2022-2023</v>
      </c>
      <c r="B84" t="str">
        <f t="shared" si="6"/>
        <v>Objetivo 1. Actividad 2. Muestreos y Analisis sedimentos</v>
      </c>
      <c r="C84" t="str">
        <f t="shared" si="7"/>
        <v>Gastón Vidal</v>
      </c>
      <c r="D84" t="str">
        <f t="shared" si="8"/>
        <v>INSTITUTO DE FOMENTO PESQUERO</v>
      </c>
      <c r="E84" s="14" t="s">
        <v>36</v>
      </c>
      <c r="F84" s="15" t="s">
        <v>167</v>
      </c>
      <c r="G84" s="16">
        <v>21</v>
      </c>
      <c r="H84" s="17" t="s">
        <v>180</v>
      </c>
      <c r="I84" s="17" t="s">
        <v>181</v>
      </c>
      <c r="J84" s="19">
        <v>7.4900000000000011</v>
      </c>
      <c r="K84" s="24">
        <v>0.12529964086141668</v>
      </c>
      <c r="L84" s="19">
        <v>9.3333333333333339</v>
      </c>
      <c r="M84" s="24">
        <v>0.15275252316519491</v>
      </c>
      <c r="N84" s="19">
        <v>47.533333333333331</v>
      </c>
      <c r="O84" s="24">
        <v>24.910707202593297</v>
      </c>
      <c r="P84" s="19" t="s">
        <v>336</v>
      </c>
      <c r="Q84" s="24">
        <v>0</v>
      </c>
      <c r="R84" s="19">
        <v>1.1357999999999999</v>
      </c>
      <c r="S84" s="20">
        <v>44791</v>
      </c>
      <c r="T84" s="21">
        <v>0.54513888888888895</v>
      </c>
      <c r="U84" s="13">
        <f t="shared" si="9"/>
        <v>21</v>
      </c>
    </row>
    <row r="85" spans="1:21" x14ac:dyDescent="0.35">
      <c r="A85" t="str">
        <f t="shared" si="5"/>
        <v>ESTUDIO SEGUIMIENTO DESEMPEÑO AMBIENTAL ACUICULTURA EN CHILE Y SU EFECTO EN LOS ECOSISTEMAS DE EMPLAZAMIENTO 2022-2023</v>
      </c>
      <c r="B85" t="str">
        <f t="shared" si="6"/>
        <v>Objetivo 1. Actividad 2. Muestreos y Analisis sedimentos</v>
      </c>
      <c r="C85" t="str">
        <f t="shared" si="7"/>
        <v>Gastón Vidal</v>
      </c>
      <c r="D85" t="str">
        <f t="shared" si="8"/>
        <v>INSTITUTO DE FOMENTO PESQUERO</v>
      </c>
      <c r="E85" s="14" t="s">
        <v>36</v>
      </c>
      <c r="F85" s="15" t="s">
        <v>167</v>
      </c>
      <c r="G85" s="16">
        <v>22</v>
      </c>
      <c r="H85" s="17" t="s">
        <v>182</v>
      </c>
      <c r="I85" s="17" t="s">
        <v>183</v>
      </c>
      <c r="J85" s="19">
        <v>6.666666666666667</v>
      </c>
      <c r="K85" s="24">
        <v>0.38030689361794795</v>
      </c>
      <c r="L85" s="19">
        <v>9.4</v>
      </c>
      <c r="M85" s="24">
        <v>9.9999999999999645E-2</v>
      </c>
      <c r="N85" s="19">
        <v>92.433333333333337</v>
      </c>
      <c r="O85" s="24">
        <v>109.03909084971926</v>
      </c>
      <c r="P85" s="19" t="s">
        <v>336</v>
      </c>
      <c r="Q85" s="24">
        <v>0</v>
      </c>
      <c r="R85" s="19">
        <v>0.87109999999999999</v>
      </c>
      <c r="S85" s="20">
        <v>44791</v>
      </c>
      <c r="T85" s="21">
        <v>0.51666666666666672</v>
      </c>
      <c r="U85" s="13">
        <f t="shared" si="9"/>
        <v>22</v>
      </c>
    </row>
    <row r="86" spans="1:21" x14ac:dyDescent="0.35">
      <c r="A86" t="str">
        <f t="shared" si="5"/>
        <v>ESTUDIO SEGUIMIENTO DESEMPEÑO AMBIENTAL ACUICULTURA EN CHILE Y SU EFECTO EN LOS ECOSISTEMAS DE EMPLAZAMIENTO 2022-2023</v>
      </c>
      <c r="B86" t="str">
        <f t="shared" si="6"/>
        <v>Objetivo 1. Actividad 2. Muestreos y Analisis sedimentos</v>
      </c>
      <c r="C86" t="str">
        <f t="shared" si="7"/>
        <v>Gastón Vidal</v>
      </c>
      <c r="D86" t="str">
        <f t="shared" si="8"/>
        <v>INSTITUTO DE FOMENTO PESQUERO</v>
      </c>
      <c r="E86" s="14" t="s">
        <v>36</v>
      </c>
      <c r="F86" s="15" t="s">
        <v>167</v>
      </c>
      <c r="G86" s="16">
        <v>26</v>
      </c>
      <c r="H86" s="17" t="s">
        <v>184</v>
      </c>
      <c r="I86" s="17" t="s">
        <v>185</v>
      </c>
      <c r="J86" s="19">
        <v>7.0333333333333341</v>
      </c>
      <c r="K86" s="24">
        <v>8.3864970836060579E-2</v>
      </c>
      <c r="L86" s="19">
        <v>9.4</v>
      </c>
      <c r="M86" s="24">
        <v>0</v>
      </c>
      <c r="N86" s="19">
        <v>99.833333333333329</v>
      </c>
      <c r="O86" s="24">
        <v>24.642307792358526</v>
      </c>
      <c r="P86" s="19">
        <v>18.863333333333333</v>
      </c>
      <c r="Q86" s="24">
        <v>8.5507563018327897</v>
      </c>
      <c r="R86" s="19">
        <v>2.8378999999999999</v>
      </c>
      <c r="S86" s="20">
        <v>44791</v>
      </c>
      <c r="T86" s="21">
        <v>0.47916666666666669</v>
      </c>
      <c r="U86" s="13">
        <f t="shared" si="9"/>
        <v>26</v>
      </c>
    </row>
    <row r="87" spans="1:21" x14ac:dyDescent="0.35">
      <c r="A87" t="str">
        <f t="shared" si="5"/>
        <v>ESTUDIO SEGUIMIENTO DESEMPEÑO AMBIENTAL ACUICULTURA EN CHILE Y SU EFECTO EN LOS ECOSISTEMAS DE EMPLAZAMIENTO 2022-2023</v>
      </c>
      <c r="B87" t="str">
        <f t="shared" si="6"/>
        <v>Objetivo 1. Actividad 2. Muestreos y Analisis sedimentos</v>
      </c>
      <c r="C87" t="str">
        <f t="shared" si="7"/>
        <v>Gastón Vidal</v>
      </c>
      <c r="D87" t="str">
        <f t="shared" si="8"/>
        <v>INSTITUTO DE FOMENTO PESQUERO</v>
      </c>
      <c r="E87" s="14" t="s">
        <v>36</v>
      </c>
      <c r="F87" s="15" t="s">
        <v>167</v>
      </c>
      <c r="G87" s="16">
        <v>28</v>
      </c>
      <c r="H87" s="17" t="s">
        <v>186</v>
      </c>
      <c r="I87" s="17" t="s">
        <v>187</v>
      </c>
      <c r="J87" s="19">
        <v>7.43</v>
      </c>
      <c r="K87" s="24">
        <v>4.3588989435406823E-2</v>
      </c>
      <c r="L87" s="19">
        <v>9.3666666666666671</v>
      </c>
      <c r="M87" s="24">
        <v>0.11547005383792475</v>
      </c>
      <c r="N87" s="19">
        <v>126.46666666666665</v>
      </c>
      <c r="O87" s="24">
        <v>38.40017361071866</v>
      </c>
      <c r="P87" s="19">
        <v>0</v>
      </c>
      <c r="Q87" s="24">
        <v>0</v>
      </c>
      <c r="R87" s="19">
        <v>1.6191</v>
      </c>
      <c r="S87" s="20">
        <v>44791</v>
      </c>
      <c r="T87" s="21">
        <v>0.3611111111111111</v>
      </c>
      <c r="U87" s="13">
        <f t="shared" si="9"/>
        <v>28</v>
      </c>
    </row>
    <row r="88" spans="1:21" x14ac:dyDescent="0.35">
      <c r="A88" t="str">
        <f t="shared" si="5"/>
        <v>ESTUDIO SEGUIMIENTO DESEMPEÑO AMBIENTAL ACUICULTURA EN CHILE Y SU EFECTO EN LOS ECOSISTEMAS DE EMPLAZAMIENTO 2022-2023</v>
      </c>
      <c r="B88" t="str">
        <f t="shared" si="6"/>
        <v>Objetivo 1. Actividad 2. Muestreos y Analisis sedimentos</v>
      </c>
      <c r="C88" t="str">
        <f t="shared" si="7"/>
        <v>Gastón Vidal</v>
      </c>
      <c r="D88" t="str">
        <f t="shared" si="8"/>
        <v>INSTITUTO DE FOMENTO PESQUERO</v>
      </c>
      <c r="E88" s="14" t="s">
        <v>36</v>
      </c>
      <c r="F88" s="15" t="s">
        <v>167</v>
      </c>
      <c r="G88" s="16">
        <v>32</v>
      </c>
      <c r="H88" s="17" t="s">
        <v>188</v>
      </c>
      <c r="I88" s="17" t="s">
        <v>189</v>
      </c>
      <c r="J88" s="19">
        <v>7.0633333333333335</v>
      </c>
      <c r="K88" s="24">
        <v>6.6583281184793869E-2</v>
      </c>
      <c r="L88" s="19">
        <v>9.4</v>
      </c>
      <c r="M88" s="24">
        <v>0</v>
      </c>
      <c r="N88" s="19">
        <v>-99.633333333333326</v>
      </c>
      <c r="O88" s="24">
        <v>25.888285639132864</v>
      </c>
      <c r="P88" s="19">
        <v>15.756666666666666</v>
      </c>
      <c r="Q88" s="24">
        <v>11.504713526782551</v>
      </c>
      <c r="R88" s="19">
        <v>2.3696000000000002</v>
      </c>
      <c r="S88" s="20">
        <v>44791</v>
      </c>
      <c r="T88" s="21">
        <v>0.39097222222222222</v>
      </c>
      <c r="U88" s="13">
        <f t="shared" si="9"/>
        <v>32</v>
      </c>
    </row>
    <row r="89" spans="1:21" x14ac:dyDescent="0.35">
      <c r="A89" t="str">
        <f t="shared" si="5"/>
        <v>ESTUDIO SEGUIMIENTO DESEMPEÑO AMBIENTAL ACUICULTURA EN CHILE Y SU EFECTO EN LOS ECOSISTEMAS DE EMPLAZAMIENTO 2022-2023</v>
      </c>
      <c r="B89" t="str">
        <f t="shared" si="6"/>
        <v>Objetivo 1. Actividad 2. Muestreos y Analisis sedimentos</v>
      </c>
      <c r="C89" t="str">
        <f t="shared" si="7"/>
        <v>Gastón Vidal</v>
      </c>
      <c r="D89" t="str">
        <f t="shared" si="8"/>
        <v>INSTITUTO DE FOMENTO PESQUERO</v>
      </c>
      <c r="E89" s="14" t="s">
        <v>36</v>
      </c>
      <c r="F89" s="15" t="s">
        <v>167</v>
      </c>
      <c r="G89" s="16">
        <v>39</v>
      </c>
      <c r="H89" s="18" t="s">
        <v>190</v>
      </c>
      <c r="I89" s="18" t="s">
        <v>191</v>
      </c>
      <c r="J89" s="19">
        <v>7.0100000000000007</v>
      </c>
      <c r="K89" s="24">
        <v>0.10535653752852735</v>
      </c>
      <c r="L89" s="19">
        <v>9.3333333333333339</v>
      </c>
      <c r="M89" s="24">
        <v>0.25166114784235827</v>
      </c>
      <c r="N89" s="19">
        <v>239.83333333333334</v>
      </c>
      <c r="O89" s="24">
        <v>17.008625262887453</v>
      </c>
      <c r="P89" s="19" t="s">
        <v>336</v>
      </c>
      <c r="Q89" s="24">
        <v>0</v>
      </c>
      <c r="R89" s="19">
        <v>0.76649999999999996</v>
      </c>
      <c r="S89" s="20">
        <v>44790</v>
      </c>
      <c r="T89" s="21">
        <v>0.56736111111111109</v>
      </c>
      <c r="U89" s="13">
        <f t="shared" si="9"/>
        <v>39</v>
      </c>
    </row>
    <row r="90" spans="1:21" x14ac:dyDescent="0.35">
      <c r="A90" t="str">
        <f t="shared" si="5"/>
        <v>ESTUDIO SEGUIMIENTO DESEMPEÑO AMBIENTAL ACUICULTURA EN CHILE Y SU EFECTO EN LOS ECOSISTEMAS DE EMPLAZAMIENTO 2022-2023</v>
      </c>
      <c r="B90" t="str">
        <f t="shared" si="6"/>
        <v>Objetivo 1. Actividad 2. Muestreos y Analisis sedimentos</v>
      </c>
      <c r="C90" t="str">
        <f t="shared" si="7"/>
        <v>Gastón Vidal</v>
      </c>
      <c r="D90" t="str">
        <f t="shared" si="8"/>
        <v>INSTITUTO DE FOMENTO PESQUERO</v>
      </c>
      <c r="E90" s="14" t="s">
        <v>36</v>
      </c>
      <c r="F90" s="15" t="s">
        <v>192</v>
      </c>
      <c r="G90" s="16">
        <v>3</v>
      </c>
      <c r="H90" s="17" t="s">
        <v>193</v>
      </c>
      <c r="I90" s="17" t="s">
        <v>194</v>
      </c>
      <c r="J90" s="19">
        <v>6.956666666666667</v>
      </c>
      <c r="K90" s="24">
        <v>8.3864970836060579E-2</v>
      </c>
      <c r="L90" s="19">
        <v>12.566666666666668</v>
      </c>
      <c r="M90" s="24">
        <v>0.73711147958319945</v>
      </c>
      <c r="N90" s="19">
        <v>289.56666666666666</v>
      </c>
      <c r="O90" s="24">
        <v>53.738006413834889</v>
      </c>
      <c r="P90" s="19" t="s">
        <v>336</v>
      </c>
      <c r="Q90" s="24">
        <v>0</v>
      </c>
      <c r="R90" s="19">
        <v>1.8568501024641164</v>
      </c>
      <c r="S90" s="20">
        <v>44857</v>
      </c>
      <c r="T90" s="21">
        <v>0.64027777777777772</v>
      </c>
      <c r="U90" s="13">
        <f t="shared" si="9"/>
        <v>3</v>
      </c>
    </row>
    <row r="91" spans="1:21" x14ac:dyDescent="0.35">
      <c r="A91" t="str">
        <f t="shared" si="5"/>
        <v>ESTUDIO SEGUIMIENTO DESEMPEÑO AMBIENTAL ACUICULTURA EN CHILE Y SU EFECTO EN LOS ECOSISTEMAS DE EMPLAZAMIENTO 2022-2023</v>
      </c>
      <c r="B91" t="str">
        <f t="shared" si="6"/>
        <v>Objetivo 1. Actividad 2. Muestreos y Analisis sedimentos</v>
      </c>
      <c r="C91" t="str">
        <f t="shared" si="7"/>
        <v>Gastón Vidal</v>
      </c>
      <c r="D91" t="str">
        <f t="shared" si="8"/>
        <v>INSTITUTO DE FOMENTO PESQUERO</v>
      </c>
      <c r="E91" s="14" t="s">
        <v>36</v>
      </c>
      <c r="F91" s="15" t="s">
        <v>192</v>
      </c>
      <c r="G91" s="16">
        <v>6</v>
      </c>
      <c r="H91" s="17" t="s">
        <v>195</v>
      </c>
      <c r="I91" s="17" t="s">
        <v>196</v>
      </c>
      <c r="J91" s="19">
        <v>7.63</v>
      </c>
      <c r="K91" s="24">
        <v>6.2449979983984147E-2</v>
      </c>
      <c r="L91" s="19">
        <v>12.433333333333332</v>
      </c>
      <c r="M91" s="24">
        <v>0.23094010767584949</v>
      </c>
      <c r="N91" s="19">
        <v>477.13333333333338</v>
      </c>
      <c r="O91" s="24">
        <v>21.326587475105644</v>
      </c>
      <c r="P91" s="19" t="s">
        <v>336</v>
      </c>
      <c r="Q91" s="24">
        <v>0</v>
      </c>
      <c r="R91" s="19">
        <v>1.3428628244569349</v>
      </c>
      <c r="S91" s="20">
        <v>44857</v>
      </c>
      <c r="T91" s="21">
        <v>0.67986111111111114</v>
      </c>
      <c r="U91" s="13">
        <f t="shared" si="9"/>
        <v>6</v>
      </c>
    </row>
    <row r="92" spans="1:21" x14ac:dyDescent="0.35">
      <c r="A92" t="str">
        <f t="shared" si="5"/>
        <v>ESTUDIO SEGUIMIENTO DESEMPEÑO AMBIENTAL ACUICULTURA EN CHILE Y SU EFECTO EN LOS ECOSISTEMAS DE EMPLAZAMIENTO 2022-2023</v>
      </c>
      <c r="B92" t="str">
        <f t="shared" si="6"/>
        <v>Objetivo 1. Actividad 2. Muestreos y Analisis sedimentos</v>
      </c>
      <c r="C92" t="str">
        <f t="shared" si="7"/>
        <v>Gastón Vidal</v>
      </c>
      <c r="D92" t="str">
        <f t="shared" si="8"/>
        <v>INSTITUTO DE FOMENTO PESQUERO</v>
      </c>
      <c r="E92" s="14" t="s">
        <v>36</v>
      </c>
      <c r="F92" s="15" t="s">
        <v>192</v>
      </c>
      <c r="G92" s="16">
        <v>7</v>
      </c>
      <c r="H92" s="17" t="s">
        <v>197</v>
      </c>
      <c r="I92" s="17" t="s">
        <v>198</v>
      </c>
      <c r="J92" s="19">
        <v>7.68</v>
      </c>
      <c r="K92" s="24">
        <v>0.13527749258468705</v>
      </c>
      <c r="L92" s="19">
        <v>11.666666666666666</v>
      </c>
      <c r="M92" s="24">
        <v>0.15275252316519491</v>
      </c>
      <c r="N92" s="19">
        <v>399.56666666666666</v>
      </c>
      <c r="O92" s="24">
        <v>53.377929271687563</v>
      </c>
      <c r="P92" s="19" t="s">
        <v>336</v>
      </c>
      <c r="Q92" s="24">
        <v>0</v>
      </c>
      <c r="R92" s="19">
        <v>1.0985756213145434</v>
      </c>
      <c r="S92" s="20">
        <v>44857</v>
      </c>
      <c r="T92" s="21">
        <v>0.67500000000000004</v>
      </c>
      <c r="U92" s="13">
        <f t="shared" si="9"/>
        <v>7</v>
      </c>
    </row>
    <row r="93" spans="1:21" x14ac:dyDescent="0.35">
      <c r="A93" t="str">
        <f t="shared" si="5"/>
        <v>ESTUDIO SEGUIMIENTO DESEMPEÑO AMBIENTAL ACUICULTURA EN CHILE Y SU EFECTO EN LOS ECOSISTEMAS DE EMPLAZAMIENTO 2022-2023</v>
      </c>
      <c r="B93" t="str">
        <f t="shared" si="6"/>
        <v>Objetivo 1. Actividad 2. Muestreos y Analisis sedimentos</v>
      </c>
      <c r="C93" t="str">
        <f t="shared" si="7"/>
        <v>Gastón Vidal</v>
      </c>
      <c r="D93" t="str">
        <f t="shared" si="8"/>
        <v>INSTITUTO DE FOMENTO PESQUERO</v>
      </c>
      <c r="E93" s="14" t="s">
        <v>36</v>
      </c>
      <c r="F93" s="15" t="s">
        <v>192</v>
      </c>
      <c r="G93" s="16">
        <v>13</v>
      </c>
      <c r="H93" s="17" t="s">
        <v>199</v>
      </c>
      <c r="I93" s="17" t="s">
        <v>200</v>
      </c>
      <c r="J93" s="19" t="s">
        <v>336</v>
      </c>
      <c r="K93" s="24" t="s">
        <v>336</v>
      </c>
      <c r="L93" s="19" t="s">
        <v>336</v>
      </c>
      <c r="M93" s="24" t="s">
        <v>336</v>
      </c>
      <c r="N93" s="19" t="s">
        <v>336</v>
      </c>
      <c r="O93" s="24" t="s">
        <v>336</v>
      </c>
      <c r="P93" s="19" t="s">
        <v>336</v>
      </c>
      <c r="Q93" s="24" t="s">
        <v>336</v>
      </c>
      <c r="R93" s="19" t="s">
        <v>336</v>
      </c>
      <c r="S93" s="20" t="s">
        <v>336</v>
      </c>
      <c r="T93" s="21" t="s">
        <v>336</v>
      </c>
      <c r="U93" s="13">
        <f t="shared" si="9"/>
        <v>13</v>
      </c>
    </row>
    <row r="94" spans="1:21" x14ac:dyDescent="0.35">
      <c r="A94" t="str">
        <f t="shared" si="5"/>
        <v>ESTUDIO SEGUIMIENTO DESEMPEÑO AMBIENTAL ACUICULTURA EN CHILE Y SU EFECTO EN LOS ECOSISTEMAS DE EMPLAZAMIENTO 2022-2023</v>
      </c>
      <c r="B94" t="str">
        <f t="shared" si="6"/>
        <v>Objetivo 1. Actividad 2. Muestreos y Analisis sedimentos</v>
      </c>
      <c r="C94" t="str">
        <f t="shared" si="7"/>
        <v>Gastón Vidal</v>
      </c>
      <c r="D94" t="str">
        <f t="shared" si="8"/>
        <v>INSTITUTO DE FOMENTO PESQUERO</v>
      </c>
      <c r="E94" s="14" t="s">
        <v>36</v>
      </c>
      <c r="F94" s="15" t="s">
        <v>192</v>
      </c>
      <c r="G94" s="16">
        <v>14</v>
      </c>
      <c r="H94" s="17" t="s">
        <v>201</v>
      </c>
      <c r="I94" s="17" t="s">
        <v>202</v>
      </c>
      <c r="J94" s="19">
        <v>7.6866666666666665</v>
      </c>
      <c r="K94" s="24">
        <v>0.16010413278030408</v>
      </c>
      <c r="L94" s="19">
        <v>13.366666666666667</v>
      </c>
      <c r="M94" s="24">
        <v>0.25166114784235838</v>
      </c>
      <c r="N94" s="19">
        <v>533.86666666666667</v>
      </c>
      <c r="O94" s="24">
        <v>16.088608806647386</v>
      </c>
      <c r="P94" s="19" t="s">
        <v>336</v>
      </c>
      <c r="Q94" s="24">
        <v>0</v>
      </c>
      <c r="R94" s="19">
        <v>0.32044583768721258</v>
      </c>
      <c r="S94" s="20">
        <v>44857</v>
      </c>
      <c r="T94" s="21">
        <v>0.51041666666666663</v>
      </c>
      <c r="U94" s="13">
        <f t="shared" si="9"/>
        <v>14</v>
      </c>
    </row>
    <row r="95" spans="1:21" x14ac:dyDescent="0.35">
      <c r="A95" t="str">
        <f t="shared" si="5"/>
        <v>ESTUDIO SEGUIMIENTO DESEMPEÑO AMBIENTAL ACUICULTURA EN CHILE Y SU EFECTO EN LOS ECOSISTEMAS DE EMPLAZAMIENTO 2022-2023</v>
      </c>
      <c r="B95" t="str">
        <f t="shared" si="6"/>
        <v>Objetivo 1. Actividad 2. Muestreos y Analisis sedimentos</v>
      </c>
      <c r="C95" t="str">
        <f t="shared" si="7"/>
        <v>Gastón Vidal</v>
      </c>
      <c r="D95" t="str">
        <f t="shared" si="8"/>
        <v>INSTITUTO DE FOMENTO PESQUERO</v>
      </c>
      <c r="E95" s="14" t="s">
        <v>36</v>
      </c>
      <c r="F95" s="15" t="s">
        <v>203</v>
      </c>
      <c r="G95" s="16">
        <v>1</v>
      </c>
      <c r="H95" s="17" t="s">
        <v>204</v>
      </c>
      <c r="I95" s="17" t="s">
        <v>205</v>
      </c>
      <c r="J95" s="19">
        <v>7.4766666666666666</v>
      </c>
      <c r="K95" s="24">
        <v>0.1193035344544887</v>
      </c>
      <c r="L95" s="19">
        <v>11.699999999999998</v>
      </c>
      <c r="M95" s="24">
        <v>0.10000000000000053</v>
      </c>
      <c r="N95" s="19">
        <v>547.5333333333333</v>
      </c>
      <c r="O95" s="24">
        <v>22.83009709425987</v>
      </c>
      <c r="P95" s="19" t="s">
        <v>336</v>
      </c>
      <c r="Q95" s="24">
        <v>0</v>
      </c>
      <c r="R95" s="19">
        <v>1.2781127925057694</v>
      </c>
      <c r="S95" s="20">
        <v>44856</v>
      </c>
      <c r="T95" s="21">
        <v>0.80902777777777779</v>
      </c>
      <c r="U95" s="13">
        <f t="shared" si="9"/>
        <v>1</v>
      </c>
    </row>
    <row r="96" spans="1:21" x14ac:dyDescent="0.35">
      <c r="A96" t="str">
        <f t="shared" si="5"/>
        <v>ESTUDIO SEGUIMIENTO DESEMPEÑO AMBIENTAL ACUICULTURA EN CHILE Y SU EFECTO EN LOS ECOSISTEMAS DE EMPLAZAMIENTO 2022-2023</v>
      </c>
      <c r="B96" t="str">
        <f t="shared" si="6"/>
        <v>Objetivo 1. Actividad 2. Muestreos y Analisis sedimentos</v>
      </c>
      <c r="C96" t="str">
        <f t="shared" si="7"/>
        <v>Gastón Vidal</v>
      </c>
      <c r="D96" t="str">
        <f t="shared" si="8"/>
        <v>INSTITUTO DE FOMENTO PESQUERO</v>
      </c>
      <c r="E96" s="14" t="s">
        <v>36</v>
      </c>
      <c r="F96" s="15" t="s">
        <v>203</v>
      </c>
      <c r="G96" s="16">
        <v>2</v>
      </c>
      <c r="H96" s="17" t="s">
        <v>206</v>
      </c>
      <c r="I96" s="17" t="s">
        <v>207</v>
      </c>
      <c r="J96" s="19">
        <v>7.72</v>
      </c>
      <c r="K96" s="24">
        <v>0.16093476939431098</v>
      </c>
      <c r="L96" s="19">
        <v>11.6</v>
      </c>
      <c r="M96" s="24">
        <v>0.26457513110645914</v>
      </c>
      <c r="N96" s="19">
        <v>483.3</v>
      </c>
      <c r="O96" s="24">
        <v>39.639500501393798</v>
      </c>
      <c r="P96" s="19" t="s">
        <v>336</v>
      </c>
      <c r="Q96" s="24">
        <v>0</v>
      </c>
      <c r="R96" s="19">
        <v>0.86427533342769081</v>
      </c>
      <c r="S96" s="20">
        <v>44856</v>
      </c>
      <c r="T96" s="21">
        <v>0.75972222222222219</v>
      </c>
      <c r="U96" s="13">
        <f t="shared" si="9"/>
        <v>2</v>
      </c>
    </row>
    <row r="97" spans="1:21" x14ac:dyDescent="0.35">
      <c r="A97" t="str">
        <f t="shared" si="5"/>
        <v>ESTUDIO SEGUIMIENTO DESEMPEÑO AMBIENTAL ACUICULTURA EN CHILE Y SU EFECTO EN LOS ECOSISTEMAS DE EMPLAZAMIENTO 2022-2023</v>
      </c>
      <c r="B97" t="str">
        <f t="shared" si="6"/>
        <v>Objetivo 1. Actividad 2. Muestreos y Analisis sedimentos</v>
      </c>
      <c r="C97" t="str">
        <f t="shared" si="7"/>
        <v>Gastón Vidal</v>
      </c>
      <c r="D97" t="str">
        <f t="shared" si="8"/>
        <v>INSTITUTO DE FOMENTO PESQUERO</v>
      </c>
      <c r="E97" s="14" t="s">
        <v>36</v>
      </c>
      <c r="F97" s="15" t="s">
        <v>203</v>
      </c>
      <c r="G97" s="16">
        <v>3</v>
      </c>
      <c r="H97" s="17" t="s">
        <v>208</v>
      </c>
      <c r="I97" s="17" t="s">
        <v>209</v>
      </c>
      <c r="J97" s="19">
        <v>7.5733333333333333</v>
      </c>
      <c r="K97" s="24">
        <v>8.9628864398325153E-2</v>
      </c>
      <c r="L97" s="19">
        <v>12.933333333333332</v>
      </c>
      <c r="M97" s="24">
        <v>0.11547005383792475</v>
      </c>
      <c r="N97" s="19">
        <v>512.6</v>
      </c>
      <c r="O97" s="24">
        <v>11.012265888544471</v>
      </c>
      <c r="P97" s="19" t="s">
        <v>336</v>
      </c>
      <c r="Q97" s="24">
        <v>0</v>
      </c>
      <c r="R97" s="19">
        <v>0.29001268805507047</v>
      </c>
      <c r="S97" s="20">
        <v>44856</v>
      </c>
      <c r="T97" s="21">
        <v>0.67708333333333337</v>
      </c>
      <c r="U97" s="13">
        <f t="shared" si="9"/>
        <v>3</v>
      </c>
    </row>
    <row r="98" spans="1:21" x14ac:dyDescent="0.35">
      <c r="A98" t="str">
        <f t="shared" si="5"/>
        <v>ESTUDIO SEGUIMIENTO DESEMPEÑO AMBIENTAL ACUICULTURA EN CHILE Y SU EFECTO EN LOS ECOSISTEMAS DE EMPLAZAMIENTO 2022-2023</v>
      </c>
      <c r="B98" t="str">
        <f t="shared" si="6"/>
        <v>Objetivo 1. Actividad 2. Muestreos y Analisis sedimentos</v>
      </c>
      <c r="C98" t="str">
        <f t="shared" si="7"/>
        <v>Gastón Vidal</v>
      </c>
      <c r="D98" t="str">
        <f t="shared" si="8"/>
        <v>INSTITUTO DE FOMENTO PESQUERO</v>
      </c>
      <c r="E98" s="14" t="s">
        <v>36</v>
      </c>
      <c r="F98" s="15" t="s">
        <v>203</v>
      </c>
      <c r="G98" s="16">
        <v>4</v>
      </c>
      <c r="H98" s="17" t="s">
        <v>210</v>
      </c>
      <c r="I98" s="17" t="s">
        <v>211</v>
      </c>
      <c r="J98" s="19">
        <v>7.4133333333333331</v>
      </c>
      <c r="K98" s="24">
        <v>4.0414518843273822E-2</v>
      </c>
      <c r="L98" s="19">
        <v>11.166666666666666</v>
      </c>
      <c r="M98" s="24">
        <v>0.30550504633038922</v>
      </c>
      <c r="N98" s="19">
        <v>467.76666666666671</v>
      </c>
      <c r="O98" s="24">
        <v>12.096831541082702</v>
      </c>
      <c r="P98" s="19" t="s">
        <v>336</v>
      </c>
      <c r="Q98" s="24">
        <v>0</v>
      </c>
      <c r="R98" s="19">
        <v>1.0755829393955423</v>
      </c>
      <c r="S98" s="20">
        <v>44856</v>
      </c>
      <c r="T98" s="21">
        <v>0.63263888888888886</v>
      </c>
      <c r="U98" s="13">
        <f t="shared" si="9"/>
        <v>4</v>
      </c>
    </row>
    <row r="99" spans="1:21" x14ac:dyDescent="0.35">
      <c r="A99" t="str">
        <f t="shared" si="5"/>
        <v>ESTUDIO SEGUIMIENTO DESEMPEÑO AMBIENTAL ACUICULTURA EN CHILE Y SU EFECTO EN LOS ECOSISTEMAS DE EMPLAZAMIENTO 2022-2023</v>
      </c>
      <c r="B99" t="str">
        <f t="shared" si="6"/>
        <v>Objetivo 1. Actividad 2. Muestreos y Analisis sedimentos</v>
      </c>
      <c r="C99" t="str">
        <f t="shared" si="7"/>
        <v>Gastón Vidal</v>
      </c>
      <c r="D99" t="str">
        <f t="shared" si="8"/>
        <v>INSTITUTO DE FOMENTO PESQUERO</v>
      </c>
      <c r="E99" s="14" t="s">
        <v>36</v>
      </c>
      <c r="F99" s="15" t="s">
        <v>203</v>
      </c>
      <c r="G99" s="16">
        <v>7</v>
      </c>
      <c r="H99" s="17" t="s">
        <v>212</v>
      </c>
      <c r="I99" s="17" t="s">
        <v>213</v>
      </c>
      <c r="J99" s="19">
        <v>7.5133333333333328</v>
      </c>
      <c r="K99" s="24">
        <v>0.13428824718989124</v>
      </c>
      <c r="L99" s="19">
        <v>10.933333333333332</v>
      </c>
      <c r="M99" s="24">
        <v>0.49328828623162502</v>
      </c>
      <c r="N99" s="19">
        <v>597.9666666666667</v>
      </c>
      <c r="O99" s="24">
        <v>11.721916794335877</v>
      </c>
      <c r="P99" s="19">
        <v>7.1871760144582575E-2</v>
      </c>
      <c r="Q99" s="24">
        <v>1.5318810308932165E-2</v>
      </c>
      <c r="R99" s="19">
        <v>0.71326676176891268</v>
      </c>
      <c r="S99" s="20">
        <v>44856</v>
      </c>
      <c r="T99" s="21">
        <v>0.53819444444444442</v>
      </c>
      <c r="U99" s="13">
        <f t="shared" si="9"/>
        <v>7</v>
      </c>
    </row>
    <row r="100" spans="1:21" x14ac:dyDescent="0.35">
      <c r="A100" t="str">
        <f t="shared" si="5"/>
        <v>ESTUDIO SEGUIMIENTO DESEMPEÑO AMBIENTAL ACUICULTURA EN CHILE Y SU EFECTO EN LOS ECOSISTEMAS DE EMPLAZAMIENTO 2022-2023</v>
      </c>
      <c r="B100" t="str">
        <f t="shared" si="6"/>
        <v>Objetivo 1. Actividad 2. Muestreos y Analisis sedimentos</v>
      </c>
      <c r="C100" t="str">
        <f t="shared" si="7"/>
        <v>Gastón Vidal</v>
      </c>
      <c r="D100" t="str">
        <f t="shared" si="8"/>
        <v>INSTITUTO DE FOMENTO PESQUERO</v>
      </c>
      <c r="E100" s="14" t="s">
        <v>36</v>
      </c>
      <c r="F100" s="15" t="s">
        <v>203</v>
      </c>
      <c r="G100" s="16">
        <v>9</v>
      </c>
      <c r="H100" s="17" t="s">
        <v>214</v>
      </c>
      <c r="I100" s="17" t="s">
        <v>215</v>
      </c>
      <c r="J100" s="19">
        <v>7.6166666666666671</v>
      </c>
      <c r="K100" s="24">
        <v>0.14571661996262938</v>
      </c>
      <c r="L100" s="19">
        <v>10.066666666666666</v>
      </c>
      <c r="M100" s="24">
        <v>5.7735026918962373E-2</v>
      </c>
      <c r="N100" s="19">
        <v>598.13333333333333</v>
      </c>
      <c r="O100" s="24">
        <v>20.618034177227781</v>
      </c>
      <c r="P100" s="19" t="s">
        <v>336</v>
      </c>
      <c r="Q100" s="24">
        <v>0</v>
      </c>
      <c r="R100" s="19">
        <v>0.7093875620713892</v>
      </c>
      <c r="S100" s="20">
        <v>44855</v>
      </c>
      <c r="T100" s="21">
        <v>0.50416666666666665</v>
      </c>
      <c r="U100" s="13">
        <f t="shared" si="9"/>
        <v>9</v>
      </c>
    </row>
    <row r="101" spans="1:21" x14ac:dyDescent="0.35">
      <c r="A101" t="str">
        <f t="shared" si="5"/>
        <v>ESTUDIO SEGUIMIENTO DESEMPEÑO AMBIENTAL ACUICULTURA EN CHILE Y SU EFECTO EN LOS ECOSISTEMAS DE EMPLAZAMIENTO 2022-2023</v>
      </c>
      <c r="B101" t="str">
        <f t="shared" si="6"/>
        <v>Objetivo 1. Actividad 2. Muestreos y Analisis sedimentos</v>
      </c>
      <c r="C101" t="str">
        <f t="shared" si="7"/>
        <v>Gastón Vidal</v>
      </c>
      <c r="D101" t="str">
        <f t="shared" si="8"/>
        <v>INSTITUTO DE FOMENTO PESQUERO</v>
      </c>
      <c r="E101" s="14" t="s">
        <v>36</v>
      </c>
      <c r="F101" s="15" t="s">
        <v>216</v>
      </c>
      <c r="G101" s="16">
        <v>3</v>
      </c>
      <c r="H101" s="17" t="s">
        <v>217</v>
      </c>
      <c r="I101" s="17" t="s">
        <v>218</v>
      </c>
      <c r="J101" s="19">
        <v>7.7833333333333341</v>
      </c>
      <c r="K101" s="24">
        <v>1.5275252316519527E-2</v>
      </c>
      <c r="L101" s="19">
        <v>11.333333333333334</v>
      </c>
      <c r="M101" s="24">
        <v>0.11547005383792577</v>
      </c>
      <c r="N101" s="19">
        <v>485.73333333333335</v>
      </c>
      <c r="O101" s="24">
        <v>37.091822998247643</v>
      </c>
      <c r="P101" s="19" t="s">
        <v>336</v>
      </c>
      <c r="Q101" s="24">
        <v>0</v>
      </c>
      <c r="R101" s="19">
        <v>0.66102997694078669</v>
      </c>
      <c r="S101" s="20">
        <v>44855</v>
      </c>
      <c r="T101" s="21">
        <v>0.47499999999999998</v>
      </c>
      <c r="U101" s="13">
        <f t="shared" si="9"/>
        <v>3</v>
      </c>
    </row>
    <row r="102" spans="1:21" x14ac:dyDescent="0.35">
      <c r="A102" t="str">
        <f t="shared" si="5"/>
        <v>ESTUDIO SEGUIMIENTO DESEMPEÑO AMBIENTAL ACUICULTURA EN CHILE Y SU EFECTO EN LOS ECOSISTEMAS DE EMPLAZAMIENTO 2022-2023</v>
      </c>
      <c r="B102" t="str">
        <f t="shared" si="6"/>
        <v>Objetivo 1. Actividad 2. Muestreos y Analisis sedimentos</v>
      </c>
      <c r="C102" t="str">
        <f t="shared" si="7"/>
        <v>Gastón Vidal</v>
      </c>
      <c r="D102" t="str">
        <f t="shared" si="8"/>
        <v>INSTITUTO DE FOMENTO PESQUERO</v>
      </c>
      <c r="E102" s="14" t="s">
        <v>36</v>
      </c>
      <c r="F102" s="15" t="s">
        <v>216</v>
      </c>
      <c r="G102" s="16">
        <v>4</v>
      </c>
      <c r="H102" s="17" t="s">
        <v>219</v>
      </c>
      <c r="I102" s="17" t="s">
        <v>220</v>
      </c>
      <c r="J102" s="19">
        <v>7.1099999999999994</v>
      </c>
      <c r="K102" s="24">
        <v>4.3588989435406823E-2</v>
      </c>
      <c r="L102" s="19">
        <v>10.966666666666667</v>
      </c>
      <c r="M102" s="24">
        <v>0.11547005383792475</v>
      </c>
      <c r="N102" s="19">
        <v>449.59999999999997</v>
      </c>
      <c r="O102" s="24">
        <v>42.379712127384707</v>
      </c>
      <c r="P102" s="19" t="s">
        <v>336</v>
      </c>
      <c r="Q102" s="24">
        <v>0</v>
      </c>
      <c r="R102" s="19">
        <v>0.9529765627326614</v>
      </c>
      <c r="S102" s="20">
        <v>44855</v>
      </c>
      <c r="T102" s="21">
        <v>0.34722222222222221</v>
      </c>
      <c r="U102" s="13">
        <f t="shared" si="9"/>
        <v>4</v>
      </c>
    </row>
    <row r="103" spans="1:21" x14ac:dyDescent="0.35">
      <c r="A103" t="str">
        <f t="shared" si="5"/>
        <v>ESTUDIO SEGUIMIENTO DESEMPEÑO AMBIENTAL ACUICULTURA EN CHILE Y SU EFECTO EN LOS ECOSISTEMAS DE EMPLAZAMIENTO 2022-2023</v>
      </c>
      <c r="B103" t="str">
        <f t="shared" si="6"/>
        <v>Objetivo 1. Actividad 2. Muestreos y Analisis sedimentos</v>
      </c>
      <c r="C103" t="str">
        <f t="shared" si="7"/>
        <v>Gastón Vidal</v>
      </c>
      <c r="D103" t="str">
        <f t="shared" si="8"/>
        <v>INSTITUTO DE FOMENTO PESQUERO</v>
      </c>
      <c r="E103" s="14" t="s">
        <v>36</v>
      </c>
      <c r="F103" s="15" t="s">
        <v>216</v>
      </c>
      <c r="G103" s="16">
        <v>12</v>
      </c>
      <c r="H103" s="17" t="s">
        <v>221</v>
      </c>
      <c r="I103" s="17" t="s">
        <v>222</v>
      </c>
      <c r="J103" s="19">
        <v>7.52</v>
      </c>
      <c r="K103" s="24">
        <v>5.0000000000000266E-2</v>
      </c>
      <c r="L103" s="19">
        <v>11.133333333333333</v>
      </c>
      <c r="M103" s="24">
        <v>5.7735026918962373E-2</v>
      </c>
      <c r="N103" s="19">
        <v>557.4666666666667</v>
      </c>
      <c r="O103" s="24">
        <v>40.554942156700633</v>
      </c>
      <c r="P103" s="19" t="s">
        <v>336</v>
      </c>
      <c r="Q103" s="24">
        <v>0</v>
      </c>
      <c r="R103" s="19">
        <v>0.38958457563112087</v>
      </c>
      <c r="S103" s="20">
        <v>44854</v>
      </c>
      <c r="T103" s="21">
        <v>0.57638888888888884</v>
      </c>
      <c r="U103" s="13">
        <f t="shared" si="9"/>
        <v>12</v>
      </c>
    </row>
    <row r="104" spans="1:21" x14ac:dyDescent="0.35">
      <c r="A104" t="str">
        <f t="shared" si="5"/>
        <v>ESTUDIO SEGUIMIENTO DESEMPEÑO AMBIENTAL ACUICULTURA EN CHILE Y SU EFECTO EN LOS ECOSISTEMAS DE EMPLAZAMIENTO 2022-2023</v>
      </c>
      <c r="B104" t="str">
        <f t="shared" si="6"/>
        <v>Objetivo 1. Actividad 2. Muestreos y Analisis sedimentos</v>
      </c>
      <c r="C104" t="str">
        <f t="shared" si="7"/>
        <v>Gastón Vidal</v>
      </c>
      <c r="D104" t="str">
        <f t="shared" si="8"/>
        <v>INSTITUTO DE FOMENTO PESQUERO</v>
      </c>
      <c r="E104" s="14" t="s">
        <v>36</v>
      </c>
      <c r="F104" s="15" t="s">
        <v>216</v>
      </c>
      <c r="G104" s="16">
        <v>14</v>
      </c>
      <c r="H104" s="17" t="s">
        <v>223</v>
      </c>
      <c r="I104" s="17" t="s">
        <v>224</v>
      </c>
      <c r="J104" s="19">
        <v>7.3166666666666664</v>
      </c>
      <c r="K104" s="24">
        <v>1.5275252316519626E-2</v>
      </c>
      <c r="L104" s="19">
        <v>11.066666666666668</v>
      </c>
      <c r="M104" s="24">
        <v>0.11547005383792475</v>
      </c>
      <c r="N104" s="19">
        <v>598.69999999999993</v>
      </c>
      <c r="O104" s="24">
        <v>22.603318340456074</v>
      </c>
      <c r="P104" s="19" t="s">
        <v>336</v>
      </c>
      <c r="Q104" s="24">
        <v>0</v>
      </c>
      <c r="R104" s="19">
        <v>0.93877673636145154</v>
      </c>
      <c r="S104" s="20">
        <v>44854</v>
      </c>
      <c r="T104" s="21">
        <v>0.53472222222222221</v>
      </c>
      <c r="U104" s="13">
        <f t="shared" si="9"/>
        <v>14</v>
      </c>
    </row>
    <row r="105" spans="1:21" x14ac:dyDescent="0.35">
      <c r="A105" t="str">
        <f t="shared" si="5"/>
        <v>ESTUDIO SEGUIMIENTO DESEMPEÑO AMBIENTAL ACUICULTURA EN CHILE Y SU EFECTO EN LOS ECOSISTEMAS DE EMPLAZAMIENTO 2022-2023</v>
      </c>
      <c r="B105" t="str">
        <f t="shared" si="6"/>
        <v>Objetivo 1. Actividad 2. Muestreos y Analisis sedimentos</v>
      </c>
      <c r="C105" t="str">
        <f t="shared" si="7"/>
        <v>Gastón Vidal</v>
      </c>
      <c r="D105" t="str">
        <f t="shared" si="8"/>
        <v>INSTITUTO DE FOMENTO PESQUERO</v>
      </c>
      <c r="E105" s="14" t="s">
        <v>36</v>
      </c>
      <c r="F105" s="15" t="s">
        <v>216</v>
      </c>
      <c r="G105" s="16">
        <v>18</v>
      </c>
      <c r="H105" s="17" t="s">
        <v>225</v>
      </c>
      <c r="I105" s="17" t="s">
        <v>226</v>
      </c>
      <c r="J105" s="19">
        <v>7.6766666666666667</v>
      </c>
      <c r="K105" s="24">
        <v>3.2145502536643514E-2</v>
      </c>
      <c r="L105" s="19">
        <v>9.1666666666666661</v>
      </c>
      <c r="M105" s="24">
        <v>5.7735026918962373E-2</v>
      </c>
      <c r="N105" s="19">
        <v>437.0333333333333</v>
      </c>
      <c r="O105" s="24">
        <v>17.854224523437946</v>
      </c>
      <c r="P105" s="19" t="s">
        <v>336</v>
      </c>
      <c r="Q105" s="24">
        <v>0</v>
      </c>
      <c r="R105" s="19">
        <v>0.47362155864555877</v>
      </c>
      <c r="S105" s="20">
        <v>44794</v>
      </c>
      <c r="T105" s="21">
        <v>0.40138888888888891</v>
      </c>
      <c r="U105" s="13">
        <f t="shared" si="9"/>
        <v>18</v>
      </c>
    </row>
    <row r="106" spans="1:21" x14ac:dyDescent="0.35">
      <c r="A106" t="str">
        <f t="shared" si="5"/>
        <v>ESTUDIO SEGUIMIENTO DESEMPEÑO AMBIENTAL ACUICULTURA EN CHILE Y SU EFECTO EN LOS ECOSISTEMAS DE EMPLAZAMIENTO 2022-2023</v>
      </c>
      <c r="B106" t="str">
        <f t="shared" si="6"/>
        <v>Objetivo 1. Actividad 2. Muestreos y Analisis sedimentos</v>
      </c>
      <c r="C106" t="str">
        <f t="shared" si="7"/>
        <v>Gastón Vidal</v>
      </c>
      <c r="D106" t="str">
        <f t="shared" si="8"/>
        <v>INSTITUTO DE FOMENTO PESQUERO</v>
      </c>
      <c r="E106" s="14" t="s">
        <v>36</v>
      </c>
      <c r="F106" s="15" t="s">
        <v>216</v>
      </c>
      <c r="G106" s="16">
        <v>19</v>
      </c>
      <c r="H106" s="17" t="s">
        <v>227</v>
      </c>
      <c r="I106" s="17" t="s">
        <v>228</v>
      </c>
      <c r="J106" s="19">
        <v>7.5666666666666664</v>
      </c>
      <c r="K106" s="24">
        <v>0.12701705922171752</v>
      </c>
      <c r="L106" s="19">
        <v>11.166666666666666</v>
      </c>
      <c r="M106" s="24">
        <v>0.15275252316519491</v>
      </c>
      <c r="N106" s="19">
        <v>641.73333333333323</v>
      </c>
      <c r="O106" s="24">
        <v>19.820275813755302</v>
      </c>
      <c r="P106" s="19" t="s">
        <v>336</v>
      </c>
      <c r="Q106" s="24">
        <v>0</v>
      </c>
      <c r="R106" s="19">
        <v>1.3715801594589614</v>
      </c>
      <c r="S106" s="20">
        <v>44854</v>
      </c>
      <c r="T106" s="21">
        <v>0.36805555555555558</v>
      </c>
      <c r="U106" s="13">
        <f t="shared" si="9"/>
        <v>19</v>
      </c>
    </row>
    <row r="107" spans="1:21" x14ac:dyDescent="0.35">
      <c r="A107" t="str">
        <f t="shared" si="5"/>
        <v>ESTUDIO SEGUIMIENTO DESEMPEÑO AMBIENTAL ACUICULTURA EN CHILE Y SU EFECTO EN LOS ECOSISTEMAS DE EMPLAZAMIENTO 2022-2023</v>
      </c>
      <c r="B107" t="str">
        <f t="shared" si="6"/>
        <v>Objetivo 1. Actividad 2. Muestreos y Analisis sedimentos</v>
      </c>
      <c r="C107" t="str">
        <f t="shared" si="7"/>
        <v>Gastón Vidal</v>
      </c>
      <c r="D107" t="str">
        <f t="shared" si="8"/>
        <v>INSTITUTO DE FOMENTO PESQUERO</v>
      </c>
      <c r="E107" s="14" t="s">
        <v>36</v>
      </c>
      <c r="F107" s="15" t="s">
        <v>216</v>
      </c>
      <c r="G107" s="16">
        <v>20</v>
      </c>
      <c r="H107" s="18" t="s">
        <v>229</v>
      </c>
      <c r="I107" s="18" t="s">
        <v>230</v>
      </c>
      <c r="J107" s="19" t="s">
        <v>336</v>
      </c>
      <c r="K107" s="24" t="s">
        <v>336</v>
      </c>
      <c r="L107" s="19" t="s">
        <v>336</v>
      </c>
      <c r="M107" s="24" t="s">
        <v>336</v>
      </c>
      <c r="N107" s="19" t="s">
        <v>336</v>
      </c>
      <c r="O107" s="24" t="s">
        <v>336</v>
      </c>
      <c r="P107" s="19" t="s">
        <v>336</v>
      </c>
      <c r="Q107" s="24" t="s">
        <v>336</v>
      </c>
      <c r="R107" s="19" t="s">
        <v>336</v>
      </c>
      <c r="S107" s="20" t="s">
        <v>336</v>
      </c>
      <c r="T107" s="21" t="s">
        <v>336</v>
      </c>
      <c r="U107" s="13">
        <f t="shared" si="9"/>
        <v>20</v>
      </c>
    </row>
    <row r="108" spans="1:21" x14ac:dyDescent="0.35">
      <c r="A108" t="str">
        <f t="shared" si="5"/>
        <v>ESTUDIO SEGUIMIENTO DESEMPEÑO AMBIENTAL ACUICULTURA EN CHILE Y SU EFECTO EN LOS ECOSISTEMAS DE EMPLAZAMIENTO 2022-2023</v>
      </c>
      <c r="B108" t="str">
        <f t="shared" si="6"/>
        <v>Objetivo 1. Actividad 2. Muestreos y Analisis sedimentos</v>
      </c>
      <c r="C108" t="str">
        <f t="shared" si="7"/>
        <v>Gastón Vidal</v>
      </c>
      <c r="D108" t="str">
        <f t="shared" si="8"/>
        <v>INSTITUTO DE FOMENTO PESQUERO</v>
      </c>
      <c r="E108" s="14" t="s">
        <v>36</v>
      </c>
      <c r="F108" s="15" t="s">
        <v>231</v>
      </c>
      <c r="G108" s="16">
        <v>1</v>
      </c>
      <c r="H108" s="17" t="s">
        <v>232</v>
      </c>
      <c r="I108" s="17" t="s">
        <v>233</v>
      </c>
      <c r="J108" s="19">
        <v>7.6233333333333322</v>
      </c>
      <c r="K108" s="24">
        <v>0.14011899704655822</v>
      </c>
      <c r="L108" s="19">
        <v>9.9666666666666668</v>
      </c>
      <c r="M108" s="24">
        <v>0.76376261582597327</v>
      </c>
      <c r="N108" s="19">
        <v>129.46666666666667</v>
      </c>
      <c r="O108" s="24">
        <v>31.871669760672045</v>
      </c>
      <c r="P108" s="19" t="s">
        <v>336</v>
      </c>
      <c r="Q108" s="24">
        <v>0</v>
      </c>
      <c r="R108" s="19">
        <v>0.86450921888151699</v>
      </c>
      <c r="S108" s="20">
        <v>44832</v>
      </c>
      <c r="T108" s="21">
        <v>0.39583333333333331</v>
      </c>
      <c r="U108" s="13">
        <f t="shared" si="9"/>
        <v>1</v>
      </c>
    </row>
    <row r="109" spans="1:21" x14ac:dyDescent="0.35">
      <c r="A109" t="str">
        <f t="shared" si="5"/>
        <v>ESTUDIO SEGUIMIENTO DESEMPEÑO AMBIENTAL ACUICULTURA EN CHILE Y SU EFECTO EN LOS ECOSISTEMAS DE EMPLAZAMIENTO 2022-2023</v>
      </c>
      <c r="B109" t="str">
        <f t="shared" si="6"/>
        <v>Objetivo 1. Actividad 2. Muestreos y Analisis sedimentos</v>
      </c>
      <c r="C109" t="str">
        <f t="shared" si="7"/>
        <v>Gastón Vidal</v>
      </c>
      <c r="D109" t="str">
        <f t="shared" si="8"/>
        <v>INSTITUTO DE FOMENTO PESQUERO</v>
      </c>
      <c r="E109" s="14" t="s">
        <v>36</v>
      </c>
      <c r="F109" s="15" t="s">
        <v>231</v>
      </c>
      <c r="G109" s="16">
        <v>4</v>
      </c>
      <c r="H109" s="17" t="s">
        <v>234</v>
      </c>
      <c r="I109" s="17" t="s">
        <v>235</v>
      </c>
      <c r="J109" s="19">
        <v>7.2766666666666664</v>
      </c>
      <c r="K109" s="24">
        <v>6.6583281184793869E-2</v>
      </c>
      <c r="L109" s="19">
        <v>10.866666666666667</v>
      </c>
      <c r="M109" s="24">
        <v>5.7735026918962373E-2</v>
      </c>
      <c r="N109" s="19">
        <v>148.96666666666667</v>
      </c>
      <c r="O109" s="24">
        <v>30.407290792396154</v>
      </c>
      <c r="P109" s="19" t="s">
        <v>336</v>
      </c>
      <c r="Q109" s="24">
        <v>0</v>
      </c>
      <c r="R109" s="19">
        <v>1.3693959884084306</v>
      </c>
      <c r="S109" s="20">
        <v>44831</v>
      </c>
      <c r="T109" s="21">
        <v>0.69305555555555554</v>
      </c>
      <c r="U109" s="13">
        <f t="shared" si="9"/>
        <v>4</v>
      </c>
    </row>
    <row r="110" spans="1:21" x14ac:dyDescent="0.35">
      <c r="A110" t="str">
        <f t="shared" si="5"/>
        <v>ESTUDIO SEGUIMIENTO DESEMPEÑO AMBIENTAL ACUICULTURA EN CHILE Y SU EFECTO EN LOS ECOSISTEMAS DE EMPLAZAMIENTO 2022-2023</v>
      </c>
      <c r="B110" t="str">
        <f t="shared" si="6"/>
        <v>Objetivo 1. Actividad 2. Muestreos y Analisis sedimentos</v>
      </c>
      <c r="C110" t="str">
        <f t="shared" si="7"/>
        <v>Gastón Vidal</v>
      </c>
      <c r="D110" t="str">
        <f t="shared" si="8"/>
        <v>INSTITUTO DE FOMENTO PESQUERO</v>
      </c>
      <c r="E110" s="14" t="s">
        <v>36</v>
      </c>
      <c r="F110" s="15" t="s">
        <v>231</v>
      </c>
      <c r="G110" s="16">
        <v>6</v>
      </c>
      <c r="H110" s="14" t="s">
        <v>236</v>
      </c>
      <c r="I110" s="14" t="s">
        <v>237</v>
      </c>
      <c r="J110" s="19">
        <v>7.63</v>
      </c>
      <c r="K110" s="24">
        <v>0.1664331697709322</v>
      </c>
      <c r="L110" s="19">
        <v>10.233333333333333</v>
      </c>
      <c r="M110" s="24">
        <v>5.77350269189634E-2</v>
      </c>
      <c r="N110" s="19">
        <v>166.43333333333334</v>
      </c>
      <c r="O110" s="24">
        <v>13.596445613958569</v>
      </c>
      <c r="P110" s="19" t="s">
        <v>336</v>
      </c>
      <c r="Q110" s="24">
        <v>0</v>
      </c>
      <c r="R110" s="19">
        <v>0.68269319820595298</v>
      </c>
      <c r="S110" s="20">
        <v>44831</v>
      </c>
      <c r="T110" s="21">
        <v>0.63749999999999996</v>
      </c>
      <c r="U110" s="13">
        <f t="shared" si="9"/>
        <v>6</v>
      </c>
    </row>
    <row r="111" spans="1:21" x14ac:dyDescent="0.35">
      <c r="A111" t="str">
        <f t="shared" si="5"/>
        <v>ESTUDIO SEGUIMIENTO DESEMPEÑO AMBIENTAL ACUICULTURA EN CHILE Y SU EFECTO EN LOS ECOSISTEMAS DE EMPLAZAMIENTO 2022-2023</v>
      </c>
      <c r="B111" t="str">
        <f t="shared" si="6"/>
        <v>Objetivo 1. Actividad 2. Muestreos y Analisis sedimentos</v>
      </c>
      <c r="C111" t="str">
        <f t="shared" si="7"/>
        <v>Gastón Vidal</v>
      </c>
      <c r="D111" t="str">
        <f t="shared" si="8"/>
        <v>INSTITUTO DE FOMENTO PESQUERO</v>
      </c>
      <c r="E111" s="14" t="s">
        <v>36</v>
      </c>
      <c r="F111" s="15" t="s">
        <v>231</v>
      </c>
      <c r="G111" s="16">
        <v>7</v>
      </c>
      <c r="H111" s="17" t="s">
        <v>238</v>
      </c>
      <c r="I111" s="17" t="s">
        <v>239</v>
      </c>
      <c r="J111" s="19">
        <v>7.4433333333333325</v>
      </c>
      <c r="K111" s="24">
        <v>0.10785793124908931</v>
      </c>
      <c r="L111" s="19">
        <v>10.066666666666666</v>
      </c>
      <c r="M111" s="24">
        <v>0.25166114784235827</v>
      </c>
      <c r="N111" s="19">
        <v>139.06666666666669</v>
      </c>
      <c r="O111" s="24">
        <v>24.456969013623365</v>
      </c>
      <c r="P111" s="19">
        <v>1.1717136311946266</v>
      </c>
      <c r="Q111" s="24">
        <v>1.2331796870421043</v>
      </c>
      <c r="R111" s="19">
        <v>1.2881224684297916</v>
      </c>
      <c r="S111" s="20">
        <v>44830</v>
      </c>
      <c r="T111" s="21">
        <v>0.58333333333333337</v>
      </c>
      <c r="U111" s="13">
        <f t="shared" si="9"/>
        <v>7</v>
      </c>
    </row>
    <row r="112" spans="1:21" x14ac:dyDescent="0.35">
      <c r="A112" t="str">
        <f t="shared" si="5"/>
        <v>ESTUDIO SEGUIMIENTO DESEMPEÑO AMBIENTAL ACUICULTURA EN CHILE Y SU EFECTO EN LOS ECOSISTEMAS DE EMPLAZAMIENTO 2022-2023</v>
      </c>
      <c r="B112" t="str">
        <f t="shared" si="6"/>
        <v>Objetivo 1. Actividad 2. Muestreos y Analisis sedimentos</v>
      </c>
      <c r="C112" t="str">
        <f t="shared" si="7"/>
        <v>Gastón Vidal</v>
      </c>
      <c r="D112" t="str">
        <f t="shared" si="8"/>
        <v>INSTITUTO DE FOMENTO PESQUERO</v>
      </c>
      <c r="E112" s="14" t="s">
        <v>36</v>
      </c>
      <c r="F112" s="15" t="s">
        <v>231</v>
      </c>
      <c r="G112" s="16">
        <v>8</v>
      </c>
      <c r="H112" s="17" t="s">
        <v>240</v>
      </c>
      <c r="I112" s="17" t="s">
        <v>241</v>
      </c>
      <c r="J112" s="19">
        <v>7.793333333333333</v>
      </c>
      <c r="K112" s="24">
        <v>6.5064070986477068E-2</v>
      </c>
      <c r="L112" s="19">
        <v>9.5666666666666664</v>
      </c>
      <c r="M112" s="24">
        <v>0.11547005383792475</v>
      </c>
      <c r="N112" s="19">
        <v>158.26666666666668</v>
      </c>
      <c r="O112" s="24">
        <v>22.437988620492103</v>
      </c>
      <c r="P112" s="19">
        <v>18.635975451420478</v>
      </c>
      <c r="Q112" s="24">
        <v>7.1237909620391386</v>
      </c>
      <c r="R112" s="19">
        <v>0.94151856923056421</v>
      </c>
      <c r="S112" s="20">
        <v>44831</v>
      </c>
      <c r="T112" s="21">
        <v>0.54166666666666663</v>
      </c>
      <c r="U112" s="13">
        <f t="shared" si="9"/>
        <v>8</v>
      </c>
    </row>
    <row r="113" spans="1:21" x14ac:dyDescent="0.35">
      <c r="A113" t="str">
        <f t="shared" si="5"/>
        <v>ESTUDIO SEGUIMIENTO DESEMPEÑO AMBIENTAL ACUICULTURA EN CHILE Y SU EFECTO EN LOS ECOSISTEMAS DE EMPLAZAMIENTO 2022-2023</v>
      </c>
      <c r="B113" t="str">
        <f t="shared" si="6"/>
        <v>Objetivo 1. Actividad 2. Muestreos y Analisis sedimentos</v>
      </c>
      <c r="C113" t="str">
        <f t="shared" si="7"/>
        <v>Gastón Vidal</v>
      </c>
      <c r="D113" t="str">
        <f t="shared" si="8"/>
        <v>INSTITUTO DE FOMENTO PESQUERO</v>
      </c>
      <c r="E113" s="14" t="s">
        <v>36</v>
      </c>
      <c r="F113" s="15" t="s">
        <v>231</v>
      </c>
      <c r="G113" s="16">
        <v>9</v>
      </c>
      <c r="H113" s="17" t="s">
        <v>242</v>
      </c>
      <c r="I113" s="17" t="s">
        <v>243</v>
      </c>
      <c r="J113" s="19">
        <v>7.69</v>
      </c>
      <c r="K113" s="24">
        <v>0.16093476939431109</v>
      </c>
      <c r="L113" s="19">
        <v>9.6999999999999993</v>
      </c>
      <c r="M113" s="24">
        <v>0</v>
      </c>
      <c r="N113" s="19">
        <v>-33.4</v>
      </c>
      <c r="O113" s="24">
        <v>3.6592348927063894</v>
      </c>
      <c r="P113" s="19" t="s">
        <v>336</v>
      </c>
      <c r="Q113" s="24">
        <v>0</v>
      </c>
      <c r="R113" s="19">
        <v>1.4924246237479326</v>
      </c>
      <c r="S113" s="20">
        <v>44831</v>
      </c>
      <c r="T113" s="21">
        <v>0.49305555555555558</v>
      </c>
      <c r="U113" s="13">
        <f t="shared" si="9"/>
        <v>9</v>
      </c>
    </row>
    <row r="114" spans="1:21" x14ac:dyDescent="0.35">
      <c r="A114" t="str">
        <f t="shared" si="5"/>
        <v>ESTUDIO SEGUIMIENTO DESEMPEÑO AMBIENTAL ACUICULTURA EN CHILE Y SU EFECTO EN LOS ECOSISTEMAS DE EMPLAZAMIENTO 2022-2023</v>
      </c>
      <c r="B114" t="str">
        <f t="shared" si="6"/>
        <v>Objetivo 1. Actividad 2. Muestreos y Analisis sedimentos</v>
      </c>
      <c r="C114" t="str">
        <f t="shared" si="7"/>
        <v>Gastón Vidal</v>
      </c>
      <c r="D114" t="str">
        <f t="shared" si="8"/>
        <v>INSTITUTO DE FOMENTO PESQUERO</v>
      </c>
      <c r="E114" s="14" t="s">
        <v>36</v>
      </c>
      <c r="F114" s="15" t="s">
        <v>231</v>
      </c>
      <c r="G114" s="16">
        <v>10</v>
      </c>
      <c r="H114" s="17" t="s">
        <v>244</v>
      </c>
      <c r="I114" s="17" t="s">
        <v>245</v>
      </c>
      <c r="J114" s="19">
        <v>7.4933333333333332</v>
      </c>
      <c r="K114" s="24">
        <v>0.15307950004273371</v>
      </c>
      <c r="L114" s="19">
        <v>9.7333333333333325</v>
      </c>
      <c r="M114" s="24">
        <v>5.77350269189634E-2</v>
      </c>
      <c r="N114" s="19">
        <v>142.46666666666667</v>
      </c>
      <c r="O114" s="24">
        <v>18.895854924647811</v>
      </c>
      <c r="P114" s="19" t="s">
        <v>336</v>
      </c>
      <c r="Q114" s="24">
        <v>0</v>
      </c>
      <c r="R114" s="19">
        <v>0.5116412762287833</v>
      </c>
      <c r="S114" s="20">
        <v>44831</v>
      </c>
      <c r="T114" s="21">
        <v>0.42430555555555555</v>
      </c>
      <c r="U114" s="13">
        <f t="shared" si="9"/>
        <v>10</v>
      </c>
    </row>
    <row r="115" spans="1:21" x14ac:dyDescent="0.35">
      <c r="A115" t="str">
        <f t="shared" si="5"/>
        <v>ESTUDIO SEGUIMIENTO DESEMPEÑO AMBIENTAL ACUICULTURA EN CHILE Y SU EFECTO EN LOS ECOSISTEMAS DE EMPLAZAMIENTO 2022-2023</v>
      </c>
      <c r="B115" t="str">
        <f t="shared" si="6"/>
        <v>Objetivo 1. Actividad 2. Muestreos y Analisis sedimentos</v>
      </c>
      <c r="C115" t="str">
        <f t="shared" si="7"/>
        <v>Gastón Vidal</v>
      </c>
      <c r="D115" t="str">
        <f t="shared" si="8"/>
        <v>INSTITUTO DE FOMENTO PESQUERO</v>
      </c>
      <c r="E115" s="14" t="s">
        <v>36</v>
      </c>
      <c r="F115" s="15" t="s">
        <v>231</v>
      </c>
      <c r="G115" s="16">
        <v>12</v>
      </c>
      <c r="H115" s="17" t="s">
        <v>246</v>
      </c>
      <c r="I115" s="17" t="s">
        <v>247</v>
      </c>
      <c r="J115" s="19">
        <v>7.3533333333333344</v>
      </c>
      <c r="K115" s="24">
        <v>0.21079215671683177</v>
      </c>
      <c r="L115" s="19">
        <v>9.9</v>
      </c>
      <c r="M115" s="24">
        <v>0.17320508075688815</v>
      </c>
      <c r="N115" s="19">
        <v>159.33333333333334</v>
      </c>
      <c r="O115" s="24">
        <v>8.0089533232085586</v>
      </c>
      <c r="P115" s="19" t="s">
        <v>336</v>
      </c>
      <c r="Q115" s="24">
        <v>0</v>
      </c>
      <c r="R115" s="19">
        <v>0.71227089478224903</v>
      </c>
      <c r="S115" s="20">
        <v>44831</v>
      </c>
      <c r="T115" s="21">
        <v>0.37152777777777779</v>
      </c>
      <c r="U115" s="13">
        <f t="shared" si="9"/>
        <v>12</v>
      </c>
    </row>
    <row r="116" spans="1:21" x14ac:dyDescent="0.35">
      <c r="A116" t="str">
        <f t="shared" si="5"/>
        <v>ESTUDIO SEGUIMIENTO DESEMPEÑO AMBIENTAL ACUICULTURA EN CHILE Y SU EFECTO EN LOS ECOSISTEMAS DE EMPLAZAMIENTO 2022-2023</v>
      </c>
      <c r="B116" t="str">
        <f t="shared" si="6"/>
        <v>Objetivo 1. Actividad 2. Muestreos y Analisis sedimentos</v>
      </c>
      <c r="C116" t="str">
        <f t="shared" si="7"/>
        <v>Gastón Vidal</v>
      </c>
      <c r="D116" t="str">
        <f t="shared" si="8"/>
        <v>INSTITUTO DE FOMENTO PESQUERO</v>
      </c>
      <c r="E116" s="14" t="s">
        <v>36</v>
      </c>
      <c r="F116" s="15" t="s">
        <v>231</v>
      </c>
      <c r="G116" s="16">
        <v>17</v>
      </c>
      <c r="H116" s="17" t="s">
        <v>248</v>
      </c>
      <c r="I116" s="17" t="s">
        <v>249</v>
      </c>
      <c r="J116" s="19">
        <v>7.4866666666666672</v>
      </c>
      <c r="K116" s="24">
        <v>0.33531080109852307</v>
      </c>
      <c r="L116" s="19">
        <v>10.4</v>
      </c>
      <c r="M116" s="24">
        <v>0.36055512754639935</v>
      </c>
      <c r="N116" s="19">
        <v>136.20000000000002</v>
      </c>
      <c r="O116" s="24">
        <v>8.3803341222173255</v>
      </c>
      <c r="P116" s="19" t="s">
        <v>336</v>
      </c>
      <c r="Q116" s="24">
        <v>0</v>
      </c>
      <c r="R116" s="19">
        <v>0.87793269952753938</v>
      </c>
      <c r="S116" s="20">
        <v>44830</v>
      </c>
      <c r="T116" s="21">
        <v>0.68055555555555558</v>
      </c>
      <c r="U116" s="13">
        <f t="shared" si="9"/>
        <v>17</v>
      </c>
    </row>
    <row r="117" spans="1:21" x14ac:dyDescent="0.35">
      <c r="A117" t="str">
        <f t="shared" si="5"/>
        <v>ESTUDIO SEGUIMIENTO DESEMPEÑO AMBIENTAL ACUICULTURA EN CHILE Y SU EFECTO EN LOS ECOSISTEMAS DE EMPLAZAMIENTO 2022-2023</v>
      </c>
      <c r="B117" t="str">
        <f t="shared" si="6"/>
        <v>Objetivo 1. Actividad 2. Muestreos y Analisis sedimentos</v>
      </c>
      <c r="C117" t="str">
        <f t="shared" si="7"/>
        <v>Gastón Vidal</v>
      </c>
      <c r="D117" t="str">
        <f t="shared" si="8"/>
        <v>INSTITUTO DE FOMENTO PESQUERO</v>
      </c>
      <c r="E117" s="14" t="s">
        <v>36</v>
      </c>
      <c r="F117" s="15" t="s">
        <v>250</v>
      </c>
      <c r="G117" s="16">
        <v>2</v>
      </c>
      <c r="H117" s="17" t="s">
        <v>251</v>
      </c>
      <c r="I117" s="17" t="s">
        <v>252</v>
      </c>
      <c r="J117" s="19">
        <v>7.2233333333333336</v>
      </c>
      <c r="K117" s="24">
        <v>0.10214368964029694</v>
      </c>
      <c r="L117" s="19">
        <v>9.4</v>
      </c>
      <c r="M117" s="24">
        <v>0</v>
      </c>
      <c r="N117" s="19">
        <v>56.966666666666661</v>
      </c>
      <c r="O117" s="24">
        <v>66.087542951250157</v>
      </c>
      <c r="P117" s="19" t="s">
        <v>336</v>
      </c>
      <c r="Q117" s="24">
        <v>0</v>
      </c>
      <c r="R117" s="19">
        <v>1.0405785987227631</v>
      </c>
      <c r="S117" s="20">
        <v>44833</v>
      </c>
      <c r="T117" s="21">
        <v>0.49652777777777779</v>
      </c>
      <c r="U117" s="13">
        <f t="shared" si="9"/>
        <v>2</v>
      </c>
    </row>
    <row r="118" spans="1:21" x14ac:dyDescent="0.35">
      <c r="A118" t="str">
        <f t="shared" si="5"/>
        <v>ESTUDIO SEGUIMIENTO DESEMPEÑO AMBIENTAL ACUICULTURA EN CHILE Y SU EFECTO EN LOS ECOSISTEMAS DE EMPLAZAMIENTO 2022-2023</v>
      </c>
      <c r="B118" t="str">
        <f t="shared" si="6"/>
        <v>Objetivo 1. Actividad 2. Muestreos y Analisis sedimentos</v>
      </c>
      <c r="C118" t="str">
        <f t="shared" si="7"/>
        <v>Gastón Vidal</v>
      </c>
      <c r="D118" t="str">
        <f t="shared" si="8"/>
        <v>INSTITUTO DE FOMENTO PESQUERO</v>
      </c>
      <c r="E118" s="14" t="s">
        <v>36</v>
      </c>
      <c r="F118" s="15" t="s">
        <v>250</v>
      </c>
      <c r="G118" s="16">
        <v>4</v>
      </c>
      <c r="H118" s="17" t="s">
        <v>253</v>
      </c>
      <c r="I118" s="17" t="s">
        <v>254</v>
      </c>
      <c r="J118" s="19">
        <v>7.4866666666666672</v>
      </c>
      <c r="K118" s="24">
        <v>8.504900548115378E-2</v>
      </c>
      <c r="L118" s="19">
        <v>9.1666666666666661</v>
      </c>
      <c r="M118" s="24">
        <v>5.7735026918962373E-2</v>
      </c>
      <c r="N118" s="19">
        <v>43.933333333333337</v>
      </c>
      <c r="O118" s="24">
        <v>79.968076964081931</v>
      </c>
      <c r="P118" s="19">
        <v>7.574922624655323</v>
      </c>
      <c r="Q118" s="24">
        <v>9.0953440337781633</v>
      </c>
      <c r="R118" s="19">
        <v>1.6396998221489414</v>
      </c>
      <c r="S118" s="20">
        <v>44833</v>
      </c>
      <c r="T118" s="21">
        <v>0.41666666666666669</v>
      </c>
      <c r="U118" s="13">
        <f t="shared" si="9"/>
        <v>4</v>
      </c>
    </row>
    <row r="119" spans="1:21" x14ac:dyDescent="0.35">
      <c r="A119" t="str">
        <f t="shared" si="5"/>
        <v>ESTUDIO SEGUIMIENTO DESEMPEÑO AMBIENTAL ACUICULTURA EN CHILE Y SU EFECTO EN LOS ECOSISTEMAS DE EMPLAZAMIENTO 2022-2023</v>
      </c>
      <c r="B119" t="str">
        <f t="shared" si="6"/>
        <v>Objetivo 1. Actividad 2. Muestreos y Analisis sedimentos</v>
      </c>
      <c r="C119" t="str">
        <f t="shared" si="7"/>
        <v>Gastón Vidal</v>
      </c>
      <c r="D119" t="str">
        <f t="shared" si="8"/>
        <v>INSTITUTO DE FOMENTO PESQUERO</v>
      </c>
      <c r="E119" s="14" t="s">
        <v>36</v>
      </c>
      <c r="F119" s="15" t="s">
        <v>250</v>
      </c>
      <c r="G119" s="16">
        <v>5</v>
      </c>
      <c r="H119" s="17" t="s">
        <v>255</v>
      </c>
      <c r="I119" s="17" t="s">
        <v>256</v>
      </c>
      <c r="J119" s="19">
        <v>7.4833333333333343</v>
      </c>
      <c r="K119" s="24">
        <v>0.11503622617824907</v>
      </c>
      <c r="L119" s="19">
        <v>10</v>
      </c>
      <c r="M119" s="24">
        <v>0</v>
      </c>
      <c r="N119" s="19">
        <v>63.066666666666663</v>
      </c>
      <c r="O119" s="24">
        <v>59.727073704755824</v>
      </c>
      <c r="P119" s="19">
        <v>40.096126713740354</v>
      </c>
      <c r="Q119" s="24">
        <v>15.448139200412628</v>
      </c>
      <c r="R119" s="19">
        <v>1.3781756154995755</v>
      </c>
      <c r="S119" s="20">
        <v>44832</v>
      </c>
      <c r="T119" s="21">
        <v>0.79166666666666663</v>
      </c>
      <c r="U119" s="13">
        <f t="shared" si="9"/>
        <v>5</v>
      </c>
    </row>
    <row r="120" spans="1:21" x14ac:dyDescent="0.35">
      <c r="A120" t="str">
        <f t="shared" si="5"/>
        <v>ESTUDIO SEGUIMIENTO DESEMPEÑO AMBIENTAL ACUICULTURA EN CHILE Y SU EFECTO EN LOS ECOSISTEMAS DE EMPLAZAMIENTO 2022-2023</v>
      </c>
      <c r="B120" t="str">
        <f t="shared" si="6"/>
        <v>Objetivo 1. Actividad 2. Muestreos y Analisis sedimentos</v>
      </c>
      <c r="C120" t="str">
        <f t="shared" si="7"/>
        <v>Gastón Vidal</v>
      </c>
      <c r="D120" t="str">
        <f t="shared" si="8"/>
        <v>INSTITUTO DE FOMENTO PESQUERO</v>
      </c>
      <c r="E120" s="14" t="s">
        <v>36</v>
      </c>
      <c r="F120" s="15" t="s">
        <v>250</v>
      </c>
      <c r="G120" s="16">
        <v>12</v>
      </c>
      <c r="H120" s="17" t="s">
        <v>257</v>
      </c>
      <c r="I120" s="17" t="s">
        <v>258</v>
      </c>
      <c r="J120" s="19">
        <v>7.293333333333333</v>
      </c>
      <c r="K120" s="24">
        <v>6.5064070986477068E-2</v>
      </c>
      <c r="L120" s="19">
        <v>9.6</v>
      </c>
      <c r="M120" s="24">
        <v>0.17320508075688812</v>
      </c>
      <c r="N120" s="19">
        <v>34.099999999999994</v>
      </c>
      <c r="O120" s="24">
        <v>12.264990827554655</v>
      </c>
      <c r="P120" s="19">
        <v>47.372430437170493</v>
      </c>
      <c r="Q120" s="24">
        <v>12.867496837878086</v>
      </c>
      <c r="R120" s="19">
        <v>2.1501742903891103</v>
      </c>
      <c r="S120" s="20">
        <v>44832</v>
      </c>
      <c r="T120" s="21">
        <v>0.59305555555555556</v>
      </c>
      <c r="U120" s="13">
        <f t="shared" si="9"/>
        <v>12</v>
      </c>
    </row>
    <row r="121" spans="1:21" x14ac:dyDescent="0.35">
      <c r="A121" t="str">
        <f t="shared" si="5"/>
        <v>ESTUDIO SEGUIMIENTO DESEMPEÑO AMBIENTAL ACUICULTURA EN CHILE Y SU EFECTO EN LOS ECOSISTEMAS DE EMPLAZAMIENTO 2022-2023</v>
      </c>
      <c r="B121" t="str">
        <f t="shared" si="6"/>
        <v>Objetivo 1. Actividad 2. Muestreos y Analisis sedimentos</v>
      </c>
      <c r="C121" t="str">
        <f t="shared" si="7"/>
        <v>Gastón Vidal</v>
      </c>
      <c r="D121" t="str">
        <f t="shared" si="8"/>
        <v>INSTITUTO DE FOMENTO PESQUERO</v>
      </c>
      <c r="E121" s="14" t="s">
        <v>36</v>
      </c>
      <c r="F121" s="15" t="s">
        <v>250</v>
      </c>
      <c r="G121" s="16">
        <v>13</v>
      </c>
      <c r="H121" s="17" t="s">
        <v>259</v>
      </c>
      <c r="I121" s="17" t="s">
        <v>260</v>
      </c>
      <c r="J121" s="19">
        <v>6.9066666666666663</v>
      </c>
      <c r="K121" s="24">
        <v>0.12701705922171805</v>
      </c>
      <c r="L121" s="19">
        <v>9.3666666666666671</v>
      </c>
      <c r="M121" s="24">
        <v>5.7735026918962373E-2</v>
      </c>
      <c r="N121" s="19">
        <v>57.566666666666663</v>
      </c>
      <c r="O121" s="24">
        <v>58.207330580720949</v>
      </c>
      <c r="P121" s="19">
        <v>74.144925482582295</v>
      </c>
      <c r="Q121" s="24">
        <v>7.8759045106189358</v>
      </c>
      <c r="R121" s="19">
        <v>0.92842673869005965</v>
      </c>
      <c r="S121" s="20">
        <v>44832</v>
      </c>
      <c r="T121" s="21">
        <v>0.5541666666666667</v>
      </c>
      <c r="U121" s="13">
        <f t="shared" si="9"/>
        <v>13</v>
      </c>
    </row>
    <row r="122" spans="1:21" x14ac:dyDescent="0.35">
      <c r="A122" t="str">
        <f t="shared" si="5"/>
        <v>ESTUDIO SEGUIMIENTO DESEMPEÑO AMBIENTAL ACUICULTURA EN CHILE Y SU EFECTO EN LOS ECOSISTEMAS DE EMPLAZAMIENTO 2022-2023</v>
      </c>
      <c r="B122" t="str">
        <f t="shared" si="6"/>
        <v>Objetivo 1. Actividad 2. Muestreos y Analisis sedimentos</v>
      </c>
      <c r="C122" t="str">
        <f t="shared" si="7"/>
        <v>Gastón Vidal</v>
      </c>
      <c r="D122" t="str">
        <f t="shared" si="8"/>
        <v>INSTITUTO DE FOMENTO PESQUERO</v>
      </c>
      <c r="E122" s="14" t="s">
        <v>36</v>
      </c>
      <c r="F122" s="15" t="s">
        <v>250</v>
      </c>
      <c r="G122" s="16">
        <v>14</v>
      </c>
      <c r="H122" s="17" t="s">
        <v>261</v>
      </c>
      <c r="I122" s="17" t="s">
        <v>262</v>
      </c>
      <c r="J122" s="19">
        <v>7.3933333333333335</v>
      </c>
      <c r="K122" s="24">
        <v>0.13576941236277515</v>
      </c>
      <c r="L122" s="19">
        <v>9.4666666666666668</v>
      </c>
      <c r="M122" s="24">
        <v>0.11547005383792475</v>
      </c>
      <c r="N122" s="19">
        <v>104.66666666666667</v>
      </c>
      <c r="O122" s="24">
        <v>21.147182633469903</v>
      </c>
      <c r="P122" s="19">
        <v>31.99131481949038</v>
      </c>
      <c r="Q122" s="24">
        <v>18.756897534395574</v>
      </c>
      <c r="R122" s="19">
        <v>3.4791030321090961</v>
      </c>
      <c r="S122" s="20">
        <v>44832</v>
      </c>
      <c r="T122" s="21">
        <v>0.46875</v>
      </c>
      <c r="U122" s="13">
        <f t="shared" si="9"/>
        <v>14</v>
      </c>
    </row>
    <row r="123" spans="1:21" x14ac:dyDescent="0.35">
      <c r="A123" t="str">
        <f t="shared" si="5"/>
        <v>ESTUDIO SEGUIMIENTO DESEMPEÑO AMBIENTAL ACUICULTURA EN CHILE Y SU EFECTO EN LOS ECOSISTEMAS DE EMPLAZAMIENTO 2022-2023</v>
      </c>
      <c r="B123" t="str">
        <f t="shared" si="6"/>
        <v>Objetivo 1. Actividad 2. Muestreos y Analisis sedimentos</v>
      </c>
      <c r="C123" t="str">
        <f t="shared" si="7"/>
        <v>Gastón Vidal</v>
      </c>
      <c r="D123" t="str">
        <f t="shared" si="8"/>
        <v>INSTITUTO DE FOMENTO PESQUERO</v>
      </c>
      <c r="E123" s="14" t="s">
        <v>36</v>
      </c>
      <c r="F123" s="15" t="s">
        <v>250</v>
      </c>
      <c r="G123" s="16">
        <v>16</v>
      </c>
      <c r="H123" s="17" t="s">
        <v>263</v>
      </c>
      <c r="I123" s="17" t="s">
        <v>264</v>
      </c>
      <c r="J123" s="19">
        <v>7.32</v>
      </c>
      <c r="K123" s="24">
        <v>7.2111025509280099E-2</v>
      </c>
      <c r="L123" s="19">
        <v>9.4</v>
      </c>
      <c r="M123" s="24">
        <v>0.20000000000000018</v>
      </c>
      <c r="N123" s="19">
        <v>124.33333333333333</v>
      </c>
      <c r="O123" s="24">
        <v>6.1808845105966324</v>
      </c>
      <c r="P123" s="19">
        <v>66.911512794844199</v>
      </c>
      <c r="Q123" s="24">
        <v>4.0535889579038304</v>
      </c>
      <c r="R123" s="19">
        <v>1.2916081309670526</v>
      </c>
      <c r="S123" s="20">
        <v>44832</v>
      </c>
      <c r="T123" s="21">
        <v>0.43055555555555558</v>
      </c>
      <c r="U123" s="13">
        <f t="shared" si="9"/>
        <v>16</v>
      </c>
    </row>
    <row r="124" spans="1:21" x14ac:dyDescent="0.35">
      <c r="A124" t="str">
        <f t="shared" si="5"/>
        <v>ESTUDIO SEGUIMIENTO DESEMPEÑO AMBIENTAL ACUICULTURA EN CHILE Y SU EFECTO EN LOS ECOSISTEMAS DE EMPLAZAMIENTO 2022-2023</v>
      </c>
      <c r="B124" t="str">
        <f t="shared" si="6"/>
        <v>Objetivo 1. Actividad 2. Muestreos y Analisis sedimentos</v>
      </c>
      <c r="C124" t="str">
        <f t="shared" si="7"/>
        <v>Gastón Vidal</v>
      </c>
      <c r="D124" t="str">
        <f t="shared" si="8"/>
        <v>INSTITUTO DE FOMENTO PESQUERO</v>
      </c>
      <c r="E124" s="14" t="s">
        <v>36</v>
      </c>
      <c r="F124" s="15" t="s">
        <v>250</v>
      </c>
      <c r="G124" s="16">
        <v>17</v>
      </c>
      <c r="H124" s="17" t="s">
        <v>265</v>
      </c>
      <c r="I124" s="17" t="s">
        <v>266</v>
      </c>
      <c r="J124" s="19">
        <v>7.6000000000000005</v>
      </c>
      <c r="K124" s="24">
        <v>0.15716233645501712</v>
      </c>
      <c r="L124" s="19">
        <v>10.033333333333333</v>
      </c>
      <c r="M124" s="24">
        <v>0.23094010767585052</v>
      </c>
      <c r="N124" s="19">
        <v>150.29999999999998</v>
      </c>
      <c r="O124" s="24">
        <v>22.354417907876922</v>
      </c>
      <c r="P124" s="19" t="s">
        <v>336</v>
      </c>
      <c r="Q124" s="24">
        <v>0</v>
      </c>
      <c r="R124" s="19">
        <v>0.91185775981326678</v>
      </c>
      <c r="S124" s="20">
        <v>44830</v>
      </c>
      <c r="T124" s="21">
        <v>0.76875000000000004</v>
      </c>
      <c r="U124" s="13">
        <f t="shared" si="9"/>
        <v>17</v>
      </c>
    </row>
    <row r="125" spans="1:21" x14ac:dyDescent="0.35">
      <c r="A125" t="str">
        <f t="shared" si="5"/>
        <v>ESTUDIO SEGUIMIENTO DESEMPEÑO AMBIENTAL ACUICULTURA EN CHILE Y SU EFECTO EN LOS ECOSISTEMAS DE EMPLAZAMIENTO 2022-2023</v>
      </c>
      <c r="B125" t="str">
        <f t="shared" si="6"/>
        <v>Objetivo 1. Actividad 2. Muestreos y Analisis sedimentos</v>
      </c>
      <c r="C125" t="str">
        <f t="shared" si="7"/>
        <v>Gastón Vidal</v>
      </c>
      <c r="D125" t="str">
        <f t="shared" si="8"/>
        <v>INSTITUTO DE FOMENTO PESQUERO</v>
      </c>
      <c r="E125" s="14" t="s">
        <v>36</v>
      </c>
      <c r="F125" s="15" t="s">
        <v>250</v>
      </c>
      <c r="G125" s="16">
        <v>19</v>
      </c>
      <c r="H125" s="17" t="s">
        <v>267</v>
      </c>
      <c r="I125" s="17" t="s">
        <v>268</v>
      </c>
      <c r="J125" s="19">
        <v>7.04</v>
      </c>
      <c r="K125" s="24">
        <v>9.9999999999999645E-2</v>
      </c>
      <c r="L125" s="19">
        <v>11.533333333333333</v>
      </c>
      <c r="M125" s="24">
        <v>0.15275252316519414</v>
      </c>
      <c r="N125" s="19">
        <v>459.29999999999995</v>
      </c>
      <c r="O125" s="24">
        <v>11.576268828944855</v>
      </c>
      <c r="P125" s="19" t="s">
        <v>336</v>
      </c>
      <c r="Q125" s="24">
        <v>0</v>
      </c>
      <c r="R125" s="19">
        <v>0</v>
      </c>
      <c r="S125" s="20">
        <v>44853</v>
      </c>
      <c r="T125" s="21">
        <v>0.70486111111111116</v>
      </c>
      <c r="U125" s="13">
        <f t="shared" si="9"/>
        <v>19</v>
      </c>
    </row>
    <row r="126" spans="1:21" x14ac:dyDescent="0.35">
      <c r="A126" t="str">
        <f t="shared" si="5"/>
        <v>ESTUDIO SEGUIMIENTO DESEMPEÑO AMBIENTAL ACUICULTURA EN CHILE Y SU EFECTO EN LOS ECOSISTEMAS DE EMPLAZAMIENTO 2022-2023</v>
      </c>
      <c r="B126" t="str">
        <f t="shared" si="6"/>
        <v>Objetivo 1. Actividad 2. Muestreos y Analisis sedimentos</v>
      </c>
      <c r="C126" t="str">
        <f t="shared" si="7"/>
        <v>Gastón Vidal</v>
      </c>
      <c r="D126" t="str">
        <f t="shared" si="8"/>
        <v>INSTITUTO DE FOMENTO PESQUERO</v>
      </c>
      <c r="E126" s="14" t="s">
        <v>36</v>
      </c>
      <c r="F126" s="15" t="s">
        <v>250</v>
      </c>
      <c r="G126" s="16">
        <v>25</v>
      </c>
      <c r="H126" s="17" t="s">
        <v>269</v>
      </c>
      <c r="I126" s="17" t="s">
        <v>270</v>
      </c>
      <c r="J126" s="19">
        <v>8.1199999999999992</v>
      </c>
      <c r="K126" s="24">
        <v>7.5498344352706831E-2</v>
      </c>
      <c r="L126" s="19">
        <v>9.5666666666666664</v>
      </c>
      <c r="M126" s="24">
        <v>0.51316014394468834</v>
      </c>
      <c r="N126" s="19">
        <v>595.4</v>
      </c>
      <c r="O126" s="24">
        <v>15.120846537148617</v>
      </c>
      <c r="P126" s="19" t="s">
        <v>336</v>
      </c>
      <c r="Q126" s="24">
        <v>0</v>
      </c>
      <c r="R126" s="19">
        <v>2.5491022233745912</v>
      </c>
      <c r="S126" s="20">
        <v>44846</v>
      </c>
      <c r="T126" s="21">
        <v>0.46250000000000002</v>
      </c>
      <c r="U126" s="13">
        <f t="shared" si="9"/>
        <v>25</v>
      </c>
    </row>
    <row r="127" spans="1:21" x14ac:dyDescent="0.35">
      <c r="A127" t="str">
        <f t="shared" si="5"/>
        <v>ESTUDIO SEGUIMIENTO DESEMPEÑO AMBIENTAL ACUICULTURA EN CHILE Y SU EFECTO EN LOS ECOSISTEMAS DE EMPLAZAMIENTO 2022-2023</v>
      </c>
      <c r="B127" t="str">
        <f t="shared" si="6"/>
        <v>Objetivo 1. Actividad 2. Muestreos y Analisis sedimentos</v>
      </c>
      <c r="C127" t="str">
        <f t="shared" si="7"/>
        <v>Gastón Vidal</v>
      </c>
      <c r="D127" t="str">
        <f t="shared" si="8"/>
        <v>INSTITUTO DE FOMENTO PESQUERO</v>
      </c>
      <c r="E127" s="14" t="s">
        <v>36</v>
      </c>
      <c r="F127" s="15" t="s">
        <v>250</v>
      </c>
      <c r="G127" s="16">
        <v>31</v>
      </c>
      <c r="H127" s="17" t="s">
        <v>271</v>
      </c>
      <c r="I127" s="17" t="s">
        <v>272</v>
      </c>
      <c r="J127" s="19">
        <v>7.55</v>
      </c>
      <c r="K127" s="24">
        <v>0.19924858845171262</v>
      </c>
      <c r="L127" s="19">
        <v>10.166666666666666</v>
      </c>
      <c r="M127" s="24">
        <v>0.3785938897200179</v>
      </c>
      <c r="N127" s="19">
        <v>521.36666666666667</v>
      </c>
      <c r="O127" s="24">
        <v>6.5607418279744616</v>
      </c>
      <c r="P127" s="19" t="s">
        <v>336</v>
      </c>
      <c r="Q127" s="24">
        <v>0</v>
      </c>
      <c r="R127" s="19">
        <v>1.0984657002718481</v>
      </c>
      <c r="S127" s="20">
        <v>44844</v>
      </c>
      <c r="T127" s="21">
        <v>0.65277777777777779</v>
      </c>
      <c r="U127" s="13">
        <f t="shared" si="9"/>
        <v>31</v>
      </c>
    </row>
    <row r="128" spans="1:21" x14ac:dyDescent="0.35">
      <c r="A128" t="str">
        <f t="shared" si="5"/>
        <v>ESTUDIO SEGUIMIENTO DESEMPEÑO AMBIENTAL ACUICULTURA EN CHILE Y SU EFECTO EN LOS ECOSISTEMAS DE EMPLAZAMIENTO 2022-2023</v>
      </c>
      <c r="B128" t="str">
        <f t="shared" si="6"/>
        <v>Objetivo 1. Actividad 2. Muestreos y Analisis sedimentos</v>
      </c>
      <c r="C128" t="str">
        <f t="shared" si="7"/>
        <v>Gastón Vidal</v>
      </c>
      <c r="D128" t="str">
        <f t="shared" si="8"/>
        <v>INSTITUTO DE FOMENTO PESQUERO</v>
      </c>
      <c r="E128" s="14" t="s">
        <v>36</v>
      </c>
      <c r="F128" s="15" t="s">
        <v>250</v>
      </c>
      <c r="G128" s="16">
        <v>32</v>
      </c>
      <c r="H128" s="17" t="s">
        <v>273</v>
      </c>
      <c r="I128" s="17" t="s">
        <v>274</v>
      </c>
      <c r="J128" s="19">
        <v>7.9466666666666663</v>
      </c>
      <c r="K128" s="24">
        <v>7.2341781380701839E-2</v>
      </c>
      <c r="L128" s="19">
        <v>10.4</v>
      </c>
      <c r="M128" s="24">
        <v>0.45825756949558416</v>
      </c>
      <c r="N128" s="19">
        <v>428.43333333333339</v>
      </c>
      <c r="O128" s="24">
        <v>26.600438592875371</v>
      </c>
      <c r="P128" s="19" t="s">
        <v>336</v>
      </c>
      <c r="Q128" s="24">
        <v>0</v>
      </c>
      <c r="R128" s="19">
        <v>2.084916269033219</v>
      </c>
      <c r="S128" s="20">
        <v>44842</v>
      </c>
      <c r="T128" s="21">
        <v>0.72569444444444442</v>
      </c>
      <c r="U128" s="13">
        <f t="shared" si="9"/>
        <v>32</v>
      </c>
    </row>
    <row r="129" spans="1:21" x14ac:dyDescent="0.35">
      <c r="A129" t="str">
        <f t="shared" si="5"/>
        <v>ESTUDIO SEGUIMIENTO DESEMPEÑO AMBIENTAL ACUICULTURA EN CHILE Y SU EFECTO EN LOS ECOSISTEMAS DE EMPLAZAMIENTO 2022-2023</v>
      </c>
      <c r="B129" t="str">
        <f t="shared" si="6"/>
        <v>Objetivo 1. Actividad 2. Muestreos y Analisis sedimentos</v>
      </c>
      <c r="C129" t="str">
        <f t="shared" si="7"/>
        <v>Gastón Vidal</v>
      </c>
      <c r="D129" t="str">
        <f t="shared" si="8"/>
        <v>INSTITUTO DE FOMENTO PESQUERO</v>
      </c>
      <c r="E129" s="14" t="s">
        <v>36</v>
      </c>
      <c r="F129" s="15" t="s">
        <v>275</v>
      </c>
      <c r="G129" s="16">
        <v>5</v>
      </c>
      <c r="H129" s="17" t="s">
        <v>276</v>
      </c>
      <c r="I129" s="17" t="s">
        <v>277</v>
      </c>
      <c r="J129" s="19">
        <v>7.8133333333333335</v>
      </c>
      <c r="K129" s="24">
        <v>0.10263202878893772</v>
      </c>
      <c r="L129" s="19">
        <v>10.333333333333334</v>
      </c>
      <c r="M129" s="24">
        <v>0.11547005383792576</v>
      </c>
      <c r="N129" s="19">
        <v>508.36666666666662</v>
      </c>
      <c r="O129" s="24">
        <v>27.507332355816196</v>
      </c>
      <c r="P129" s="19" t="s">
        <v>336</v>
      </c>
      <c r="Q129" s="24">
        <v>0</v>
      </c>
      <c r="R129" s="19">
        <v>2.8810279433392623</v>
      </c>
      <c r="S129" s="20">
        <v>44844</v>
      </c>
      <c r="T129" s="21">
        <v>0.46250000000000002</v>
      </c>
      <c r="U129" s="13">
        <f t="shared" si="9"/>
        <v>5</v>
      </c>
    </row>
    <row r="130" spans="1:21" x14ac:dyDescent="0.35">
      <c r="A130" t="str">
        <f t="shared" si="5"/>
        <v>ESTUDIO SEGUIMIENTO DESEMPEÑO AMBIENTAL ACUICULTURA EN CHILE Y SU EFECTO EN LOS ECOSISTEMAS DE EMPLAZAMIENTO 2022-2023</v>
      </c>
      <c r="B130" t="str">
        <f t="shared" si="6"/>
        <v>Objetivo 1. Actividad 2. Muestreos y Analisis sedimentos</v>
      </c>
      <c r="C130" t="str">
        <f t="shared" si="7"/>
        <v>Gastón Vidal</v>
      </c>
      <c r="D130" t="str">
        <f t="shared" si="8"/>
        <v>INSTITUTO DE FOMENTO PESQUERO</v>
      </c>
      <c r="E130" s="14" t="s">
        <v>36</v>
      </c>
      <c r="F130" s="15" t="s">
        <v>275</v>
      </c>
      <c r="G130" s="16">
        <v>7</v>
      </c>
      <c r="H130" s="17" t="s">
        <v>278</v>
      </c>
      <c r="I130" s="17" t="s">
        <v>279</v>
      </c>
      <c r="J130" s="19">
        <v>7.4766666666666666</v>
      </c>
      <c r="K130" s="24">
        <v>4.9328828623162443E-2</v>
      </c>
      <c r="L130" s="19">
        <v>9.7000000000000011</v>
      </c>
      <c r="M130" s="24">
        <v>0.10000000000000053</v>
      </c>
      <c r="N130" s="19">
        <v>534.56666666666672</v>
      </c>
      <c r="O130" s="24">
        <v>112.30949796581446</v>
      </c>
      <c r="P130" s="19" t="s">
        <v>336</v>
      </c>
      <c r="Q130" s="24">
        <v>0</v>
      </c>
      <c r="R130" s="19">
        <v>3.8516011551124536</v>
      </c>
      <c r="S130" s="20">
        <v>44844</v>
      </c>
      <c r="T130" s="21">
        <v>0.34444444444444444</v>
      </c>
      <c r="U130" s="13">
        <f t="shared" si="9"/>
        <v>7</v>
      </c>
    </row>
    <row r="131" spans="1:21" x14ac:dyDescent="0.35">
      <c r="A131" t="str">
        <f t="shared" si="5"/>
        <v>ESTUDIO SEGUIMIENTO DESEMPEÑO AMBIENTAL ACUICULTURA EN CHILE Y SU EFECTO EN LOS ECOSISTEMAS DE EMPLAZAMIENTO 2022-2023</v>
      </c>
      <c r="B131" t="str">
        <f t="shared" si="6"/>
        <v>Objetivo 1. Actividad 2. Muestreos y Analisis sedimentos</v>
      </c>
      <c r="C131" t="str">
        <f t="shared" si="7"/>
        <v>Gastón Vidal</v>
      </c>
      <c r="D131" t="str">
        <f t="shared" si="8"/>
        <v>INSTITUTO DE FOMENTO PESQUERO</v>
      </c>
      <c r="E131" s="14" t="s">
        <v>36</v>
      </c>
      <c r="F131" s="15" t="s">
        <v>275</v>
      </c>
      <c r="G131" s="16">
        <v>8</v>
      </c>
      <c r="H131" s="17" t="s">
        <v>280</v>
      </c>
      <c r="I131" s="17" t="s">
        <v>281</v>
      </c>
      <c r="J131" s="19">
        <v>7.5399999999999991</v>
      </c>
      <c r="K131" s="24">
        <v>0.11789826122551578</v>
      </c>
      <c r="L131" s="19">
        <v>9.8333333333333339</v>
      </c>
      <c r="M131" s="24">
        <v>5.7735026918962373E-2</v>
      </c>
      <c r="N131" s="19">
        <v>410.36666666666662</v>
      </c>
      <c r="O131" s="24">
        <v>8.6048435972615582</v>
      </c>
      <c r="P131" s="19" t="s">
        <v>336</v>
      </c>
      <c r="Q131" s="24">
        <v>0</v>
      </c>
      <c r="R131" s="19">
        <v>5.2483069977426675</v>
      </c>
      <c r="S131" s="20">
        <v>44843</v>
      </c>
      <c r="T131" s="21">
        <v>0.73402777777777772</v>
      </c>
      <c r="U131" s="13">
        <f t="shared" si="9"/>
        <v>8</v>
      </c>
    </row>
    <row r="132" spans="1:21" x14ac:dyDescent="0.35">
      <c r="A132" t="str">
        <f t="shared" si="5"/>
        <v>ESTUDIO SEGUIMIENTO DESEMPEÑO AMBIENTAL ACUICULTURA EN CHILE Y SU EFECTO EN LOS ECOSISTEMAS DE EMPLAZAMIENTO 2022-2023</v>
      </c>
      <c r="B132" t="str">
        <f t="shared" si="6"/>
        <v>Objetivo 1. Actividad 2. Muestreos y Analisis sedimentos</v>
      </c>
      <c r="C132" t="str">
        <f t="shared" si="7"/>
        <v>Gastón Vidal</v>
      </c>
      <c r="D132" t="str">
        <f t="shared" si="8"/>
        <v>INSTITUTO DE FOMENTO PESQUERO</v>
      </c>
      <c r="E132" s="14" t="s">
        <v>36</v>
      </c>
      <c r="F132" s="15" t="s">
        <v>275</v>
      </c>
      <c r="G132" s="16">
        <v>10</v>
      </c>
      <c r="H132" s="17" t="s">
        <v>282</v>
      </c>
      <c r="I132" s="17" t="s">
        <v>283</v>
      </c>
      <c r="J132" s="19">
        <v>7.6833333333333327</v>
      </c>
      <c r="K132" s="24">
        <v>0.1650252505931542</v>
      </c>
      <c r="L132" s="19">
        <v>9.7666666666666675</v>
      </c>
      <c r="M132" s="24">
        <v>0.25166114784235838</v>
      </c>
      <c r="N132" s="19">
        <v>524.36666666666667</v>
      </c>
      <c r="O132" s="24">
        <v>20.691141421713173</v>
      </c>
      <c r="P132" s="19" t="s">
        <v>336</v>
      </c>
      <c r="Q132" s="24">
        <v>0</v>
      </c>
      <c r="R132" s="19">
        <v>1.5018097347523118</v>
      </c>
      <c r="S132" s="20">
        <v>44843</v>
      </c>
      <c r="T132" s="21">
        <v>0.51041666666666663</v>
      </c>
      <c r="U132" s="13">
        <f t="shared" si="9"/>
        <v>10</v>
      </c>
    </row>
    <row r="133" spans="1:21" x14ac:dyDescent="0.35">
      <c r="A133" t="str">
        <f t="shared" si="5"/>
        <v>ESTUDIO SEGUIMIENTO DESEMPEÑO AMBIENTAL ACUICULTURA EN CHILE Y SU EFECTO EN LOS ECOSISTEMAS DE EMPLAZAMIENTO 2022-2023</v>
      </c>
      <c r="B133" t="str">
        <f t="shared" si="6"/>
        <v>Objetivo 1. Actividad 2. Muestreos y Analisis sedimentos</v>
      </c>
      <c r="C133" t="str">
        <f t="shared" si="7"/>
        <v>Gastón Vidal</v>
      </c>
      <c r="D133" t="str">
        <f t="shared" si="8"/>
        <v>INSTITUTO DE FOMENTO PESQUERO</v>
      </c>
      <c r="E133" s="14" t="s">
        <v>36</v>
      </c>
      <c r="F133" s="15" t="s">
        <v>275</v>
      </c>
      <c r="G133" s="16">
        <v>12</v>
      </c>
      <c r="H133" s="17" t="s">
        <v>284</v>
      </c>
      <c r="I133" s="17" t="s">
        <v>285</v>
      </c>
      <c r="J133" s="19">
        <v>7.3233333333333333</v>
      </c>
      <c r="K133" s="24">
        <v>7.0945988845976193E-2</v>
      </c>
      <c r="L133" s="19">
        <v>9.9</v>
      </c>
      <c r="M133" s="24">
        <v>9.9999999999999645E-2</v>
      </c>
      <c r="N133" s="19">
        <v>329.73333333333329</v>
      </c>
      <c r="O133" s="24">
        <v>73.800971086655181</v>
      </c>
      <c r="P133" s="19">
        <v>25.106331464393943</v>
      </c>
      <c r="Q133" s="24">
        <v>5.0123378500625613</v>
      </c>
      <c r="R133" s="19">
        <v>6.0908556008683865</v>
      </c>
      <c r="S133" s="20">
        <v>44843</v>
      </c>
      <c r="T133" s="21">
        <v>0.45833333333333331</v>
      </c>
      <c r="U133" s="13">
        <f t="shared" si="9"/>
        <v>12</v>
      </c>
    </row>
    <row r="134" spans="1:21" x14ac:dyDescent="0.35">
      <c r="A134" t="str">
        <f t="shared" si="5"/>
        <v>ESTUDIO SEGUIMIENTO DESEMPEÑO AMBIENTAL ACUICULTURA EN CHILE Y SU EFECTO EN LOS ECOSISTEMAS DE EMPLAZAMIENTO 2022-2023</v>
      </c>
      <c r="B134" t="str">
        <f t="shared" si="6"/>
        <v>Objetivo 1. Actividad 2. Muestreos y Analisis sedimentos</v>
      </c>
      <c r="C134" t="str">
        <f t="shared" si="7"/>
        <v>Gastón Vidal</v>
      </c>
      <c r="D134" t="str">
        <f t="shared" si="8"/>
        <v>INSTITUTO DE FOMENTO PESQUERO</v>
      </c>
      <c r="E134" s="14" t="s">
        <v>36</v>
      </c>
      <c r="F134" s="15" t="s">
        <v>286</v>
      </c>
      <c r="G134" s="16">
        <v>1</v>
      </c>
      <c r="H134" s="17" t="s">
        <v>287</v>
      </c>
      <c r="I134" s="17" t="s">
        <v>288</v>
      </c>
      <c r="J134" s="19">
        <v>7.38</v>
      </c>
      <c r="K134" s="24">
        <v>4.0000000000000036E-2</v>
      </c>
      <c r="L134" s="19">
        <v>9.4333333333333336</v>
      </c>
      <c r="M134" s="24">
        <v>0.11547005383792475</v>
      </c>
      <c r="N134" s="19">
        <v>411.73333333333335</v>
      </c>
      <c r="O134" s="24">
        <v>57.659893629223419</v>
      </c>
      <c r="P134" s="19">
        <v>58.866635785503483</v>
      </c>
      <c r="Q134" s="24">
        <v>50.296514279934399</v>
      </c>
      <c r="R134" s="19">
        <v>11.037763583397838</v>
      </c>
      <c r="S134" s="20">
        <v>44838</v>
      </c>
      <c r="T134" s="21">
        <v>0.67291666666666672</v>
      </c>
      <c r="U134" s="13">
        <f t="shared" si="9"/>
        <v>1</v>
      </c>
    </row>
    <row r="135" spans="1:21" x14ac:dyDescent="0.35">
      <c r="A135" t="str">
        <f t="shared" si="5"/>
        <v>ESTUDIO SEGUIMIENTO DESEMPEÑO AMBIENTAL ACUICULTURA EN CHILE Y SU EFECTO EN LOS ECOSISTEMAS DE EMPLAZAMIENTO 2022-2023</v>
      </c>
      <c r="B135" t="str">
        <f t="shared" si="6"/>
        <v>Objetivo 1. Actividad 2. Muestreos y Analisis sedimentos</v>
      </c>
      <c r="C135" t="str">
        <f t="shared" si="7"/>
        <v>Gastón Vidal</v>
      </c>
      <c r="D135" t="str">
        <f t="shared" si="8"/>
        <v>INSTITUTO DE FOMENTO PESQUERO</v>
      </c>
      <c r="E135" s="14" t="s">
        <v>36</v>
      </c>
      <c r="F135" s="15" t="s">
        <v>286</v>
      </c>
      <c r="G135" s="16">
        <v>3</v>
      </c>
      <c r="H135" s="17" t="s">
        <v>289</v>
      </c>
      <c r="I135" s="17" t="s">
        <v>290</v>
      </c>
      <c r="J135" s="19">
        <v>8.09</v>
      </c>
      <c r="K135" s="24">
        <v>7.0000000000000284E-2</v>
      </c>
      <c r="L135" s="19">
        <v>9.4666666666666668</v>
      </c>
      <c r="M135" s="24">
        <v>5.7735026918962373E-2</v>
      </c>
      <c r="N135" s="19">
        <v>539.16666666666674</v>
      </c>
      <c r="O135" s="24">
        <v>24.702294090495577</v>
      </c>
      <c r="P135" s="19" t="s">
        <v>336</v>
      </c>
      <c r="Q135" s="24">
        <v>0</v>
      </c>
      <c r="R135" s="19">
        <v>2.2995015858631356</v>
      </c>
      <c r="S135" s="20">
        <v>44840</v>
      </c>
      <c r="T135" s="21">
        <v>0.5180555555555556</v>
      </c>
      <c r="U135" s="13">
        <f t="shared" si="9"/>
        <v>3</v>
      </c>
    </row>
    <row r="136" spans="1:21" x14ac:dyDescent="0.35">
      <c r="A136" t="str">
        <f t="shared" si="5"/>
        <v>ESTUDIO SEGUIMIENTO DESEMPEÑO AMBIENTAL ACUICULTURA EN CHILE Y SU EFECTO EN LOS ECOSISTEMAS DE EMPLAZAMIENTO 2022-2023</v>
      </c>
      <c r="B136" t="str">
        <f t="shared" si="6"/>
        <v>Objetivo 1. Actividad 2. Muestreos y Analisis sedimentos</v>
      </c>
      <c r="C136" t="str">
        <f t="shared" si="7"/>
        <v>Gastón Vidal</v>
      </c>
      <c r="D136" t="str">
        <f t="shared" si="8"/>
        <v>INSTITUTO DE FOMENTO PESQUERO</v>
      </c>
      <c r="E136" s="14" t="s">
        <v>36</v>
      </c>
      <c r="F136" s="15" t="s">
        <v>286</v>
      </c>
      <c r="G136" s="16">
        <v>5</v>
      </c>
      <c r="H136" s="17" t="s">
        <v>291</v>
      </c>
      <c r="I136" s="17" t="s">
        <v>292</v>
      </c>
      <c r="J136" s="19">
        <v>7.84</v>
      </c>
      <c r="K136" s="24">
        <v>4.5825756949558302E-2</v>
      </c>
      <c r="L136" s="19">
        <v>10.566666666666666</v>
      </c>
      <c r="M136" s="24">
        <v>0.8144527815247079</v>
      </c>
      <c r="N136" s="19">
        <v>387.8</v>
      </c>
      <c r="O136" s="24">
        <v>37.742151502001043</v>
      </c>
      <c r="P136" s="19" t="s">
        <v>336</v>
      </c>
      <c r="Q136" s="24">
        <v>0</v>
      </c>
      <c r="R136" s="19">
        <v>1.8327705859633168</v>
      </c>
      <c r="S136" s="20">
        <v>44836</v>
      </c>
      <c r="T136" s="21">
        <v>0.70694444444444449</v>
      </c>
      <c r="U136" s="13">
        <f t="shared" si="9"/>
        <v>5</v>
      </c>
    </row>
    <row r="137" spans="1:21" x14ac:dyDescent="0.35">
      <c r="A137" t="str">
        <f t="shared" si="5"/>
        <v>ESTUDIO SEGUIMIENTO DESEMPEÑO AMBIENTAL ACUICULTURA EN CHILE Y SU EFECTO EN LOS ECOSISTEMAS DE EMPLAZAMIENTO 2022-2023</v>
      </c>
      <c r="B137" t="str">
        <f t="shared" si="6"/>
        <v>Objetivo 1. Actividad 2. Muestreos y Analisis sedimentos</v>
      </c>
      <c r="C137" t="str">
        <f t="shared" si="7"/>
        <v>Gastón Vidal</v>
      </c>
      <c r="D137" t="str">
        <f t="shared" si="8"/>
        <v>INSTITUTO DE FOMENTO PESQUERO</v>
      </c>
      <c r="E137" s="14" t="s">
        <v>36</v>
      </c>
      <c r="F137" s="15" t="s">
        <v>286</v>
      </c>
      <c r="G137" s="16">
        <v>6</v>
      </c>
      <c r="H137" s="17" t="s">
        <v>293</v>
      </c>
      <c r="I137" s="17" t="s">
        <v>294</v>
      </c>
      <c r="J137" s="19">
        <v>7.376666666666666</v>
      </c>
      <c r="K137" s="24">
        <v>0.16921386861996035</v>
      </c>
      <c r="L137" s="19">
        <v>9.9</v>
      </c>
      <c r="M137" s="24">
        <v>9.9999999999999645E-2</v>
      </c>
      <c r="N137" s="19">
        <v>571.16666666666663</v>
      </c>
      <c r="O137" s="24">
        <v>10.471071260063749</v>
      </c>
      <c r="P137" s="19">
        <v>1.2415083650350021E-4</v>
      </c>
      <c r="Q137" s="24">
        <v>1.9925922057059621E-4</v>
      </c>
      <c r="R137" s="19">
        <v>2.5002533551460409</v>
      </c>
      <c r="S137" s="20">
        <v>44836</v>
      </c>
      <c r="T137" s="21">
        <v>0.59166666666666667</v>
      </c>
      <c r="U137" s="13">
        <f t="shared" si="9"/>
        <v>6</v>
      </c>
    </row>
    <row r="138" spans="1:21" x14ac:dyDescent="0.35">
      <c r="A138" t="str">
        <f t="shared" si="5"/>
        <v>ESTUDIO SEGUIMIENTO DESEMPEÑO AMBIENTAL ACUICULTURA EN CHILE Y SU EFECTO EN LOS ECOSISTEMAS DE EMPLAZAMIENTO 2022-2023</v>
      </c>
      <c r="B138" t="str">
        <f t="shared" si="6"/>
        <v>Objetivo 1. Actividad 2. Muestreos y Analisis sedimentos</v>
      </c>
      <c r="C138" t="str">
        <f t="shared" si="7"/>
        <v>Gastón Vidal</v>
      </c>
      <c r="D138" t="str">
        <f t="shared" si="8"/>
        <v>INSTITUTO DE FOMENTO PESQUERO</v>
      </c>
      <c r="E138" s="14" t="s">
        <v>36</v>
      </c>
      <c r="F138" s="15" t="s">
        <v>286</v>
      </c>
      <c r="G138" s="16">
        <v>7</v>
      </c>
      <c r="H138" s="17" t="s">
        <v>295</v>
      </c>
      <c r="I138" s="17" t="s">
        <v>296</v>
      </c>
      <c r="J138" s="19">
        <v>7.623333333333334</v>
      </c>
      <c r="K138" s="24">
        <v>9.291573243177606E-2</v>
      </c>
      <c r="L138" s="19">
        <v>9.7666666666666675</v>
      </c>
      <c r="M138" s="24">
        <v>0.11547005383792577</v>
      </c>
      <c r="N138" s="19">
        <v>409.96666666666664</v>
      </c>
      <c r="O138" s="24">
        <v>25.219899550421143</v>
      </c>
      <c r="P138" s="19" t="s">
        <v>336</v>
      </c>
      <c r="Q138" s="24">
        <v>0</v>
      </c>
      <c r="R138" s="19">
        <v>3.0863138633959646</v>
      </c>
      <c r="S138" s="20">
        <v>44836</v>
      </c>
      <c r="T138" s="21">
        <v>0.53472222222222221</v>
      </c>
      <c r="U138" s="13">
        <f t="shared" si="9"/>
        <v>7</v>
      </c>
    </row>
    <row r="139" spans="1:21" x14ac:dyDescent="0.35">
      <c r="A139" t="str">
        <f t="shared" si="5"/>
        <v>ESTUDIO SEGUIMIENTO DESEMPEÑO AMBIENTAL ACUICULTURA EN CHILE Y SU EFECTO EN LOS ECOSISTEMAS DE EMPLAZAMIENTO 2022-2023</v>
      </c>
      <c r="B139" t="str">
        <f t="shared" si="6"/>
        <v>Objetivo 1. Actividad 2. Muestreos y Analisis sedimentos</v>
      </c>
      <c r="C139" t="str">
        <f t="shared" si="7"/>
        <v>Gastón Vidal</v>
      </c>
      <c r="D139" t="str">
        <f t="shared" si="8"/>
        <v>INSTITUTO DE FOMENTO PESQUERO</v>
      </c>
      <c r="E139" s="14" t="s">
        <v>36</v>
      </c>
      <c r="F139" s="15" t="s">
        <v>286</v>
      </c>
      <c r="G139" s="16">
        <v>10</v>
      </c>
      <c r="H139" s="17" t="s">
        <v>297</v>
      </c>
      <c r="I139" s="17" t="s">
        <v>298</v>
      </c>
      <c r="J139" s="19">
        <v>7.3133333333333326</v>
      </c>
      <c r="K139" s="24">
        <v>0.10016652800877784</v>
      </c>
      <c r="L139" s="19">
        <v>10.166666666666666</v>
      </c>
      <c r="M139" s="24">
        <v>5.7735026918962373E-2</v>
      </c>
      <c r="N139" s="19">
        <v>554.4666666666667</v>
      </c>
      <c r="O139" s="24">
        <v>2.9670411748631449</v>
      </c>
      <c r="P139" s="19" t="s">
        <v>336</v>
      </c>
      <c r="Q139" s="24">
        <v>0</v>
      </c>
      <c r="R139" s="19">
        <v>0.99632646975097594</v>
      </c>
      <c r="S139" s="20">
        <v>44836</v>
      </c>
      <c r="T139" s="21">
        <v>0.51041666666666663</v>
      </c>
      <c r="U139" s="13">
        <f t="shared" si="9"/>
        <v>10</v>
      </c>
    </row>
    <row r="140" spans="1:21" x14ac:dyDescent="0.35">
      <c r="A140" t="str">
        <f t="shared" si="5"/>
        <v>ESTUDIO SEGUIMIENTO DESEMPEÑO AMBIENTAL ACUICULTURA EN CHILE Y SU EFECTO EN LOS ECOSISTEMAS DE EMPLAZAMIENTO 2022-2023</v>
      </c>
      <c r="B140" t="str">
        <f t="shared" si="6"/>
        <v>Objetivo 1. Actividad 2. Muestreos y Analisis sedimentos</v>
      </c>
      <c r="C140" t="str">
        <f t="shared" si="7"/>
        <v>Gastón Vidal</v>
      </c>
      <c r="D140" t="str">
        <f t="shared" si="8"/>
        <v>INSTITUTO DE FOMENTO PESQUERO</v>
      </c>
      <c r="E140" s="14" t="s">
        <v>36</v>
      </c>
      <c r="F140" s="15" t="s">
        <v>286</v>
      </c>
      <c r="G140" s="16">
        <v>11</v>
      </c>
      <c r="H140" s="17" t="s">
        <v>299</v>
      </c>
      <c r="I140" s="17" t="s">
        <v>300</v>
      </c>
      <c r="J140" s="19" t="s">
        <v>336</v>
      </c>
      <c r="K140" s="24" t="s">
        <v>336</v>
      </c>
      <c r="L140" s="19" t="s">
        <v>336</v>
      </c>
      <c r="M140" s="24" t="s">
        <v>336</v>
      </c>
      <c r="N140" s="19" t="s">
        <v>336</v>
      </c>
      <c r="O140" s="24" t="s">
        <v>336</v>
      </c>
      <c r="P140" s="19" t="s">
        <v>336</v>
      </c>
      <c r="Q140" s="24" t="s">
        <v>336</v>
      </c>
      <c r="R140" s="19" t="s">
        <v>336</v>
      </c>
      <c r="S140" s="20" t="s">
        <v>336</v>
      </c>
      <c r="T140" s="21" t="s">
        <v>336</v>
      </c>
      <c r="U140" s="13">
        <f t="shared" si="9"/>
        <v>11</v>
      </c>
    </row>
    <row r="141" spans="1:21" x14ac:dyDescent="0.35">
      <c r="A141" t="str">
        <f t="shared" si="5"/>
        <v>ESTUDIO SEGUIMIENTO DESEMPEÑO AMBIENTAL ACUICULTURA EN CHILE Y SU EFECTO EN LOS ECOSISTEMAS DE EMPLAZAMIENTO 2022-2023</v>
      </c>
      <c r="B141" t="str">
        <f t="shared" si="6"/>
        <v>Objetivo 1. Actividad 2. Muestreos y Analisis sedimentos</v>
      </c>
      <c r="C141" t="str">
        <f t="shared" si="7"/>
        <v>Gastón Vidal</v>
      </c>
      <c r="D141" t="str">
        <f t="shared" si="8"/>
        <v>INSTITUTO DE FOMENTO PESQUERO</v>
      </c>
      <c r="E141" s="14" t="s">
        <v>36</v>
      </c>
      <c r="F141" s="15" t="s">
        <v>286</v>
      </c>
      <c r="G141" s="16">
        <v>13</v>
      </c>
      <c r="H141" s="17" t="s">
        <v>301</v>
      </c>
      <c r="I141" s="17" t="s">
        <v>302</v>
      </c>
      <c r="J141" s="19">
        <v>7.3033333333333337</v>
      </c>
      <c r="K141" s="24">
        <v>3.2145502536643007E-2</v>
      </c>
      <c r="L141" s="19">
        <v>9.3333333333333339</v>
      </c>
      <c r="M141" s="24">
        <v>0.15275252316519491</v>
      </c>
      <c r="N141" s="19">
        <v>605.63333333333333</v>
      </c>
      <c r="O141" s="24">
        <v>3.5232560697930304</v>
      </c>
      <c r="P141" s="19">
        <v>6.4160227031970812E-9</v>
      </c>
      <c r="Q141" s="24">
        <v>1.5040148102469707E-9</v>
      </c>
      <c r="R141" s="19">
        <v>2.4081654351177399</v>
      </c>
      <c r="S141" s="20">
        <v>44834</v>
      </c>
      <c r="T141" s="21">
        <v>0.64166666666666672</v>
      </c>
      <c r="U141" s="13">
        <f t="shared" si="9"/>
        <v>13</v>
      </c>
    </row>
    <row r="142" spans="1:21" x14ac:dyDescent="0.35">
      <c r="A142" t="str">
        <f t="shared" si="5"/>
        <v>ESTUDIO SEGUIMIENTO DESEMPEÑO AMBIENTAL ACUICULTURA EN CHILE Y SU EFECTO EN LOS ECOSISTEMAS DE EMPLAZAMIENTO 2022-2023</v>
      </c>
      <c r="B142" t="str">
        <f t="shared" si="6"/>
        <v>Objetivo 1. Actividad 2. Muestreos y Analisis sedimentos</v>
      </c>
      <c r="C142" t="str">
        <f t="shared" si="7"/>
        <v>Gastón Vidal</v>
      </c>
      <c r="D142" t="str">
        <f t="shared" si="8"/>
        <v>INSTITUTO DE FOMENTO PESQUERO</v>
      </c>
      <c r="E142" s="14" t="s">
        <v>36</v>
      </c>
      <c r="F142" s="15" t="s">
        <v>286</v>
      </c>
      <c r="G142" s="16">
        <v>18</v>
      </c>
      <c r="H142" s="17" t="s">
        <v>303</v>
      </c>
      <c r="I142" s="17" t="s">
        <v>304</v>
      </c>
      <c r="J142" s="19">
        <v>7.293333333333333</v>
      </c>
      <c r="K142" s="24">
        <v>5.6862407030772916E-2</v>
      </c>
      <c r="L142" s="19">
        <v>9.5333333333333332</v>
      </c>
      <c r="M142" s="24">
        <v>0.15275252316519414</v>
      </c>
      <c r="N142" s="19">
        <v>538.19999999999993</v>
      </c>
      <c r="O142" s="24">
        <v>96.409180060822209</v>
      </c>
      <c r="P142" s="19">
        <v>0.40306160208718939</v>
      </c>
      <c r="Q142" s="24">
        <v>0.69317372893684814</v>
      </c>
      <c r="R142" s="19">
        <v>1.5310426273759767</v>
      </c>
      <c r="S142" s="20">
        <v>44834</v>
      </c>
      <c r="T142" s="21">
        <v>0.59027777777777779</v>
      </c>
      <c r="U142" s="13">
        <f t="shared" si="9"/>
        <v>18</v>
      </c>
    </row>
    <row r="143" spans="1:21" x14ac:dyDescent="0.35">
      <c r="A143" t="str">
        <f t="shared" si="5"/>
        <v>ESTUDIO SEGUIMIENTO DESEMPEÑO AMBIENTAL ACUICULTURA EN CHILE Y SU EFECTO EN LOS ECOSISTEMAS DE EMPLAZAMIENTO 2022-2023</v>
      </c>
      <c r="B143" t="str">
        <f t="shared" si="6"/>
        <v>Objetivo 1. Actividad 2. Muestreos y Analisis sedimentos</v>
      </c>
      <c r="C143" t="str">
        <f t="shared" si="7"/>
        <v>Gastón Vidal</v>
      </c>
      <c r="D143" t="str">
        <f t="shared" si="8"/>
        <v>INSTITUTO DE FOMENTO PESQUERO</v>
      </c>
      <c r="E143" s="14" t="s">
        <v>36</v>
      </c>
      <c r="F143" s="15" t="s">
        <v>286</v>
      </c>
      <c r="G143" s="16">
        <v>19</v>
      </c>
      <c r="H143" s="17" t="s">
        <v>305</v>
      </c>
      <c r="I143" s="17" t="s">
        <v>306</v>
      </c>
      <c r="J143" s="19">
        <v>7.2566666666666677</v>
      </c>
      <c r="K143" s="24">
        <v>8.3266639978644891E-2</v>
      </c>
      <c r="L143" s="19">
        <v>9.6</v>
      </c>
      <c r="M143" s="24">
        <v>0.26457513110645881</v>
      </c>
      <c r="N143" s="19">
        <v>620.43333333333328</v>
      </c>
      <c r="O143" s="24">
        <v>28.023085721121674</v>
      </c>
      <c r="P143" s="19">
        <v>1.8299288149812349E-5</v>
      </c>
      <c r="Q143" s="24">
        <v>2.9742841586601298E-5</v>
      </c>
      <c r="R143" s="19">
        <v>1.7342199867310719</v>
      </c>
      <c r="S143" s="20">
        <v>44834</v>
      </c>
      <c r="T143" s="21">
        <v>0.52777777777777779</v>
      </c>
      <c r="U143" s="13">
        <f t="shared" si="9"/>
        <v>19</v>
      </c>
    </row>
    <row r="144" spans="1:21" x14ac:dyDescent="0.35">
      <c r="A144" t="str">
        <f t="shared" si="5"/>
        <v>ESTUDIO SEGUIMIENTO DESEMPEÑO AMBIENTAL ACUICULTURA EN CHILE Y SU EFECTO EN LOS ECOSISTEMAS DE EMPLAZAMIENTO 2022-2023</v>
      </c>
      <c r="B144" t="str">
        <f t="shared" si="6"/>
        <v>Objetivo 1. Actividad 2. Muestreos y Analisis sedimentos</v>
      </c>
      <c r="C144" t="str">
        <f t="shared" si="7"/>
        <v>Gastón Vidal</v>
      </c>
      <c r="D144" t="str">
        <f t="shared" si="8"/>
        <v>INSTITUTO DE FOMENTO PESQUERO</v>
      </c>
      <c r="E144" s="14" t="s">
        <v>36</v>
      </c>
      <c r="F144" s="15" t="s">
        <v>286</v>
      </c>
      <c r="G144" s="16">
        <v>24</v>
      </c>
      <c r="H144" s="17" t="s">
        <v>307</v>
      </c>
      <c r="I144" s="17" t="s">
        <v>308</v>
      </c>
      <c r="J144" s="19">
        <v>7.4233333333333329</v>
      </c>
      <c r="K144" s="24">
        <v>0.13503086067019374</v>
      </c>
      <c r="L144" s="19">
        <v>9.9666666666666668</v>
      </c>
      <c r="M144" s="24">
        <v>0.15275252316519414</v>
      </c>
      <c r="N144" s="19">
        <v>556.83333333333337</v>
      </c>
      <c r="O144" s="24">
        <v>54.771738454547297</v>
      </c>
      <c r="P144" s="19">
        <v>13.89960851676023</v>
      </c>
      <c r="Q144" s="24">
        <v>10.006002362680825</v>
      </c>
      <c r="R144" s="19">
        <v>0.93927213176875679</v>
      </c>
      <c r="S144" s="20">
        <v>44834</v>
      </c>
      <c r="T144" s="21">
        <v>0.36805555555555558</v>
      </c>
      <c r="U144" s="13">
        <f t="shared" si="9"/>
        <v>24</v>
      </c>
    </row>
    <row r="145" spans="1:21" x14ac:dyDescent="0.35">
      <c r="A145" t="str">
        <f t="shared" si="5"/>
        <v>ESTUDIO SEGUIMIENTO DESEMPEÑO AMBIENTAL ACUICULTURA EN CHILE Y SU EFECTO EN LOS ECOSISTEMAS DE EMPLAZAMIENTO 2022-2023</v>
      </c>
      <c r="B145" t="str">
        <f t="shared" si="6"/>
        <v>Objetivo 1. Actividad 2. Muestreos y Analisis sedimentos</v>
      </c>
      <c r="C145" t="str">
        <f t="shared" si="7"/>
        <v>Gastón Vidal</v>
      </c>
      <c r="D145" t="str">
        <f t="shared" si="8"/>
        <v>INSTITUTO DE FOMENTO PESQUERO</v>
      </c>
      <c r="E145" s="14" t="s">
        <v>36</v>
      </c>
      <c r="F145" s="15" t="s">
        <v>286</v>
      </c>
      <c r="G145" s="16">
        <v>25</v>
      </c>
      <c r="H145" s="17" t="s">
        <v>309</v>
      </c>
      <c r="I145" s="17" t="s">
        <v>310</v>
      </c>
      <c r="J145" s="19">
        <v>7.5133333333333328</v>
      </c>
      <c r="K145" s="24">
        <v>9.5043849529221888E-2</v>
      </c>
      <c r="L145" s="19">
        <v>9.8333333333333339</v>
      </c>
      <c r="M145" s="24">
        <v>5.7735026918962373E-2</v>
      </c>
      <c r="N145" s="19">
        <v>61</v>
      </c>
      <c r="O145" s="24">
        <v>40.831972766448601</v>
      </c>
      <c r="P145" s="19" t="s">
        <v>336</v>
      </c>
      <c r="Q145" s="24">
        <v>0</v>
      </c>
      <c r="R145" s="19">
        <v>1.3362968584826065</v>
      </c>
      <c r="S145" s="20">
        <v>44833</v>
      </c>
      <c r="T145" s="21">
        <v>0.76736111111111116</v>
      </c>
      <c r="U145" s="13">
        <f t="shared" si="9"/>
        <v>25</v>
      </c>
    </row>
    <row r="146" spans="1:21" x14ac:dyDescent="0.35">
      <c r="A146" t="str">
        <f t="shared" ref="A146:A156" si="10">$B$1</f>
        <v>ESTUDIO SEGUIMIENTO DESEMPEÑO AMBIENTAL ACUICULTURA EN CHILE Y SU EFECTO EN LOS ECOSISTEMAS DE EMPLAZAMIENTO 2022-2023</v>
      </c>
      <c r="B146" t="str">
        <f t="shared" ref="B146:B156" si="11">$B$2</f>
        <v>Objetivo 1. Actividad 2. Muestreos y Analisis sedimentos</v>
      </c>
      <c r="C146" t="str">
        <f t="shared" ref="C146:C156" si="12">$B$3</f>
        <v>Gastón Vidal</v>
      </c>
      <c r="D146" t="str">
        <f t="shared" ref="D146:D156" si="13">$B$4</f>
        <v>INSTITUTO DE FOMENTO PESQUERO</v>
      </c>
      <c r="E146" s="14" t="s">
        <v>36</v>
      </c>
      <c r="F146" s="15" t="s">
        <v>286</v>
      </c>
      <c r="G146" s="16">
        <v>28</v>
      </c>
      <c r="H146" s="17" t="s">
        <v>311</v>
      </c>
      <c r="I146" s="17" t="s">
        <v>312</v>
      </c>
      <c r="J146" s="19">
        <v>7.6033333333333326</v>
      </c>
      <c r="K146" s="24">
        <v>6.6583281184793813E-2</v>
      </c>
      <c r="L146" s="19">
        <v>9.8333333333333339</v>
      </c>
      <c r="M146" s="24">
        <v>5.7735026918962373E-2</v>
      </c>
      <c r="N146" s="19">
        <v>128.5</v>
      </c>
      <c r="O146" s="24">
        <v>14.440567855870487</v>
      </c>
      <c r="P146" s="19" t="s">
        <v>336</v>
      </c>
      <c r="Q146" s="24">
        <v>0</v>
      </c>
      <c r="R146" s="19">
        <v>0.56595442929584694</v>
      </c>
      <c r="S146" s="20">
        <v>44833</v>
      </c>
      <c r="T146" s="21">
        <v>0.66319444444444442</v>
      </c>
      <c r="U146" s="13">
        <f t="shared" ref="U146:U156" si="14">G146</f>
        <v>28</v>
      </c>
    </row>
    <row r="147" spans="1:21" x14ac:dyDescent="0.35">
      <c r="A147" t="str">
        <f t="shared" si="10"/>
        <v>ESTUDIO SEGUIMIENTO DESEMPEÑO AMBIENTAL ACUICULTURA EN CHILE Y SU EFECTO EN LOS ECOSISTEMAS DE EMPLAZAMIENTO 2022-2023</v>
      </c>
      <c r="B147" t="str">
        <f t="shared" si="11"/>
        <v>Objetivo 1. Actividad 2. Muestreos y Analisis sedimentos</v>
      </c>
      <c r="C147" t="str">
        <f t="shared" si="12"/>
        <v>Gastón Vidal</v>
      </c>
      <c r="D147" t="str">
        <f t="shared" si="13"/>
        <v>INSTITUTO DE FOMENTO PESQUERO</v>
      </c>
      <c r="E147" s="14" t="s">
        <v>36</v>
      </c>
      <c r="F147" s="15" t="s">
        <v>286</v>
      </c>
      <c r="G147" s="16">
        <v>30</v>
      </c>
      <c r="H147" s="17" t="s">
        <v>313</v>
      </c>
      <c r="I147" s="17" t="s">
        <v>314</v>
      </c>
      <c r="J147" s="19">
        <v>7.5533333333333337</v>
      </c>
      <c r="K147" s="24">
        <v>0.16165807537309534</v>
      </c>
      <c r="L147" s="19">
        <v>9.8333333333333339</v>
      </c>
      <c r="M147" s="24">
        <v>0.11547005383792576</v>
      </c>
      <c r="N147" s="19">
        <v>-175.56666666666663</v>
      </c>
      <c r="O147" s="24">
        <v>483.67483223063539</v>
      </c>
      <c r="P147" s="19" t="s">
        <v>336</v>
      </c>
      <c r="Q147" s="24">
        <v>0</v>
      </c>
      <c r="R147" s="19">
        <v>0.65081442699242775</v>
      </c>
      <c r="S147" s="20">
        <v>44833</v>
      </c>
      <c r="T147" s="21">
        <v>0.60416666666666663</v>
      </c>
      <c r="U147" s="13">
        <f t="shared" si="14"/>
        <v>30</v>
      </c>
    </row>
    <row r="148" spans="1:21" x14ac:dyDescent="0.35">
      <c r="A148" t="str">
        <f t="shared" si="10"/>
        <v>ESTUDIO SEGUIMIENTO DESEMPEÑO AMBIENTAL ACUICULTURA EN CHILE Y SU EFECTO EN LOS ECOSISTEMAS DE EMPLAZAMIENTO 2022-2023</v>
      </c>
      <c r="B148" t="str">
        <f t="shared" si="11"/>
        <v>Objetivo 1. Actividad 2. Muestreos y Analisis sedimentos</v>
      </c>
      <c r="C148" t="str">
        <f t="shared" si="12"/>
        <v>Gastón Vidal</v>
      </c>
      <c r="D148" t="str">
        <f t="shared" si="13"/>
        <v>INSTITUTO DE FOMENTO PESQUERO</v>
      </c>
      <c r="E148" s="14" t="s">
        <v>36</v>
      </c>
      <c r="F148" s="15" t="s">
        <v>286</v>
      </c>
      <c r="G148" s="16">
        <v>34</v>
      </c>
      <c r="H148" s="18" t="s">
        <v>315</v>
      </c>
      <c r="I148" s="18" t="s">
        <v>316</v>
      </c>
      <c r="J148" s="19">
        <v>7.5933333333333337</v>
      </c>
      <c r="K148" s="24">
        <v>0.10692676621563654</v>
      </c>
      <c r="L148" s="19">
        <v>9.7666666666666675</v>
      </c>
      <c r="M148" s="24">
        <v>0.15275252316519508</v>
      </c>
      <c r="N148" s="19">
        <v>618.66666666666663</v>
      </c>
      <c r="O148" s="24">
        <v>21.828040070820254</v>
      </c>
      <c r="P148" s="19">
        <v>13.280590404442213</v>
      </c>
      <c r="Q148" s="24">
        <v>7.7035700362569335</v>
      </c>
      <c r="R148" s="19">
        <v>1.1445697159983068</v>
      </c>
      <c r="S148" s="20">
        <v>44840</v>
      </c>
      <c r="T148" s="21">
        <v>0.56736111111111109</v>
      </c>
      <c r="U148" s="13">
        <f t="shared" si="14"/>
        <v>34</v>
      </c>
    </row>
    <row r="149" spans="1:21" x14ac:dyDescent="0.35">
      <c r="A149" t="str">
        <f t="shared" si="10"/>
        <v>ESTUDIO SEGUIMIENTO DESEMPEÑO AMBIENTAL ACUICULTURA EN CHILE Y SU EFECTO EN LOS ECOSISTEMAS DE EMPLAZAMIENTO 2022-2023</v>
      </c>
      <c r="B149" t="str">
        <f t="shared" si="11"/>
        <v>Objetivo 1. Actividad 2. Muestreos y Analisis sedimentos</v>
      </c>
      <c r="C149" t="str">
        <f t="shared" si="12"/>
        <v>Gastón Vidal</v>
      </c>
      <c r="D149" t="str">
        <f t="shared" si="13"/>
        <v>INSTITUTO DE FOMENTO PESQUERO</v>
      </c>
      <c r="E149" s="14" t="s">
        <v>36</v>
      </c>
      <c r="F149" s="15" t="s">
        <v>317</v>
      </c>
      <c r="G149" s="16">
        <v>2</v>
      </c>
      <c r="H149" s="17" t="s">
        <v>318</v>
      </c>
      <c r="I149" s="17" t="s">
        <v>319</v>
      </c>
      <c r="J149" s="19">
        <v>7.0166666666666666</v>
      </c>
      <c r="K149" s="24">
        <v>9.8657657246324887E-2</v>
      </c>
      <c r="L149" s="19">
        <v>11.1</v>
      </c>
      <c r="M149" s="24">
        <v>9.9999999999999645E-2</v>
      </c>
      <c r="N149" s="19">
        <v>220.29999999999998</v>
      </c>
      <c r="O149" s="24">
        <v>111.98093587749656</v>
      </c>
      <c r="P149" s="19">
        <v>89.897371137513758</v>
      </c>
      <c r="Q149" s="24">
        <v>51.711419712841341</v>
      </c>
      <c r="R149" s="19">
        <v>4.507439463191707</v>
      </c>
      <c r="S149" s="20">
        <v>44937</v>
      </c>
      <c r="T149" s="21">
        <v>0.3923611111111111</v>
      </c>
      <c r="U149" s="13">
        <f t="shared" si="14"/>
        <v>2</v>
      </c>
    </row>
    <row r="150" spans="1:21" x14ac:dyDescent="0.35">
      <c r="A150" t="str">
        <f t="shared" si="10"/>
        <v>ESTUDIO SEGUIMIENTO DESEMPEÑO AMBIENTAL ACUICULTURA EN CHILE Y SU EFECTO EN LOS ECOSISTEMAS DE EMPLAZAMIENTO 2022-2023</v>
      </c>
      <c r="B150" t="str">
        <f t="shared" si="11"/>
        <v>Objetivo 1. Actividad 2. Muestreos y Analisis sedimentos</v>
      </c>
      <c r="C150" t="str">
        <f t="shared" si="12"/>
        <v>Gastón Vidal</v>
      </c>
      <c r="D150" t="str">
        <f t="shared" si="13"/>
        <v>INSTITUTO DE FOMENTO PESQUERO</v>
      </c>
      <c r="E150" s="14" t="s">
        <v>36</v>
      </c>
      <c r="F150" s="15" t="s">
        <v>317</v>
      </c>
      <c r="G150" s="16">
        <v>3</v>
      </c>
      <c r="H150" s="17" t="s">
        <v>320</v>
      </c>
      <c r="I150" s="17" t="s">
        <v>321</v>
      </c>
      <c r="J150" s="19">
        <v>7.333333333333333</v>
      </c>
      <c r="K150" s="24">
        <v>1.5275252316519142E-2</v>
      </c>
      <c r="L150" s="19">
        <v>11</v>
      </c>
      <c r="M150" s="24">
        <v>0.19999999999999929</v>
      </c>
      <c r="N150" s="19">
        <v>-19.799999999999994</v>
      </c>
      <c r="O150" s="24">
        <v>15.084097586531312</v>
      </c>
      <c r="P150" s="19">
        <v>40.360909923051317</v>
      </c>
      <c r="Q150" s="24">
        <v>2.0488415437500422</v>
      </c>
      <c r="R150" s="19">
        <v>7.9327213431574526</v>
      </c>
      <c r="S150" s="20">
        <v>44937</v>
      </c>
      <c r="T150" s="21">
        <v>0.42569444444444443</v>
      </c>
      <c r="U150" s="13">
        <f t="shared" si="14"/>
        <v>3</v>
      </c>
    </row>
    <row r="151" spans="1:21" x14ac:dyDescent="0.35">
      <c r="A151" t="str">
        <f t="shared" si="10"/>
        <v>ESTUDIO SEGUIMIENTO DESEMPEÑO AMBIENTAL ACUICULTURA EN CHILE Y SU EFECTO EN LOS ECOSISTEMAS DE EMPLAZAMIENTO 2022-2023</v>
      </c>
      <c r="B151" t="str">
        <f t="shared" si="11"/>
        <v>Objetivo 1. Actividad 2. Muestreos y Analisis sedimentos</v>
      </c>
      <c r="C151" t="str">
        <f t="shared" si="12"/>
        <v>Gastón Vidal</v>
      </c>
      <c r="D151" t="str">
        <f t="shared" si="13"/>
        <v>INSTITUTO DE FOMENTO PESQUERO</v>
      </c>
      <c r="E151" s="14" t="s">
        <v>36</v>
      </c>
      <c r="F151" s="15" t="s">
        <v>317</v>
      </c>
      <c r="G151" s="16">
        <v>5</v>
      </c>
      <c r="H151" s="17" t="s">
        <v>322</v>
      </c>
      <c r="I151" s="17" t="s">
        <v>323</v>
      </c>
      <c r="J151" s="19">
        <v>7.2633333333333328</v>
      </c>
      <c r="K151" s="24">
        <v>2.5166114784235766E-2</v>
      </c>
      <c r="L151" s="19">
        <v>10.366666666666665</v>
      </c>
      <c r="M151" s="24">
        <v>0.15275252316519508</v>
      </c>
      <c r="N151" s="19">
        <v>77.533333333333346</v>
      </c>
      <c r="O151" s="24">
        <v>1.6289055630494143</v>
      </c>
      <c r="P151" s="19">
        <v>13.186093402167907</v>
      </c>
      <c r="Q151" s="24">
        <v>11.738235438421192</v>
      </c>
      <c r="R151" s="19">
        <v>7.2149716818517877</v>
      </c>
      <c r="S151" s="20">
        <v>44936</v>
      </c>
      <c r="T151" s="21">
        <v>0.54513888888888895</v>
      </c>
      <c r="U151" s="13">
        <f t="shared" si="14"/>
        <v>5</v>
      </c>
    </row>
    <row r="152" spans="1:21" x14ac:dyDescent="0.35">
      <c r="A152" t="str">
        <f t="shared" si="10"/>
        <v>ESTUDIO SEGUIMIENTO DESEMPEÑO AMBIENTAL ACUICULTURA EN CHILE Y SU EFECTO EN LOS ECOSISTEMAS DE EMPLAZAMIENTO 2022-2023</v>
      </c>
      <c r="B152" t="str">
        <f t="shared" si="11"/>
        <v>Objetivo 1. Actividad 2. Muestreos y Analisis sedimentos</v>
      </c>
      <c r="C152" t="str">
        <f t="shared" si="12"/>
        <v>Gastón Vidal</v>
      </c>
      <c r="D152" t="str">
        <f t="shared" si="13"/>
        <v>INSTITUTO DE FOMENTO PESQUERO</v>
      </c>
      <c r="E152" s="14" t="s">
        <v>36</v>
      </c>
      <c r="F152" s="15" t="s">
        <v>317</v>
      </c>
      <c r="G152" s="16">
        <v>9</v>
      </c>
      <c r="H152" s="17" t="s">
        <v>324</v>
      </c>
      <c r="I152" s="17" t="s">
        <v>325</v>
      </c>
      <c r="J152" s="19">
        <v>8.0933333333333337</v>
      </c>
      <c r="K152" s="24">
        <v>0.11060440015358072</v>
      </c>
      <c r="L152" s="19">
        <v>17.133333333333333</v>
      </c>
      <c r="M152" s="24">
        <v>0.94516312525052171</v>
      </c>
      <c r="N152" s="19">
        <v>390.16666666666669</v>
      </c>
      <c r="O152" s="24">
        <v>40.071103470372947</v>
      </c>
      <c r="P152" s="19">
        <v>15.249446740442488</v>
      </c>
      <c r="Q152" s="24">
        <v>7.1725235391466322</v>
      </c>
      <c r="R152" s="19">
        <v>2.452311452039929</v>
      </c>
      <c r="S152" s="20">
        <v>44945</v>
      </c>
      <c r="T152" s="21">
        <v>0.45277777777777778</v>
      </c>
      <c r="U152" s="13">
        <f t="shared" si="14"/>
        <v>9</v>
      </c>
    </row>
    <row r="153" spans="1:21" x14ac:dyDescent="0.35">
      <c r="A153" t="str">
        <f t="shared" si="10"/>
        <v>ESTUDIO SEGUIMIENTO DESEMPEÑO AMBIENTAL ACUICULTURA EN CHILE Y SU EFECTO EN LOS ECOSISTEMAS DE EMPLAZAMIENTO 2022-2023</v>
      </c>
      <c r="B153" t="str">
        <f t="shared" si="11"/>
        <v>Objetivo 1. Actividad 2. Muestreos y Analisis sedimentos</v>
      </c>
      <c r="C153" t="str">
        <f t="shared" si="12"/>
        <v>Gastón Vidal</v>
      </c>
      <c r="D153" t="str">
        <f t="shared" si="13"/>
        <v>INSTITUTO DE FOMENTO PESQUERO</v>
      </c>
      <c r="E153" s="14" t="s">
        <v>36</v>
      </c>
      <c r="F153" s="15" t="s">
        <v>317</v>
      </c>
      <c r="G153" s="16">
        <v>10</v>
      </c>
      <c r="H153" s="17" t="s">
        <v>326</v>
      </c>
      <c r="I153" s="17" t="s">
        <v>327</v>
      </c>
      <c r="J153" s="19">
        <v>7.2666666666666666</v>
      </c>
      <c r="K153" s="24">
        <v>0.17039170558842737</v>
      </c>
      <c r="L153" s="19">
        <v>12.633333333333333</v>
      </c>
      <c r="M153" s="24">
        <v>0.11547005383792475</v>
      </c>
      <c r="N153" s="19">
        <v>243.23333333333335</v>
      </c>
      <c r="O153" s="24">
        <v>40.939141824582826</v>
      </c>
      <c r="P153" s="19">
        <v>32.562724733571898</v>
      </c>
      <c r="Q153" s="24">
        <v>12.376573861923667</v>
      </c>
      <c r="R153" s="19">
        <v>3.402234419401255</v>
      </c>
      <c r="S153" s="20">
        <v>44944</v>
      </c>
      <c r="T153" s="21">
        <v>0.49027777777777781</v>
      </c>
      <c r="U153" s="13">
        <f t="shared" si="14"/>
        <v>10</v>
      </c>
    </row>
    <row r="154" spans="1:21" x14ac:dyDescent="0.35">
      <c r="A154" t="str">
        <f t="shared" si="10"/>
        <v>ESTUDIO SEGUIMIENTO DESEMPEÑO AMBIENTAL ACUICULTURA EN CHILE Y SU EFECTO EN LOS ECOSISTEMAS DE EMPLAZAMIENTO 2022-2023</v>
      </c>
      <c r="B154" t="str">
        <f t="shared" si="11"/>
        <v>Objetivo 1. Actividad 2. Muestreos y Analisis sedimentos</v>
      </c>
      <c r="C154" t="str">
        <f t="shared" si="12"/>
        <v>Gastón Vidal</v>
      </c>
      <c r="D154" t="str">
        <f t="shared" si="13"/>
        <v>INSTITUTO DE FOMENTO PESQUERO</v>
      </c>
      <c r="E154" s="14" t="s">
        <v>36</v>
      </c>
      <c r="F154" s="15" t="s">
        <v>317</v>
      </c>
      <c r="G154" s="16">
        <v>11</v>
      </c>
      <c r="H154" s="17" t="s">
        <v>328</v>
      </c>
      <c r="I154" s="17" t="s">
        <v>329</v>
      </c>
      <c r="J154" s="19">
        <v>7.8066666666666658</v>
      </c>
      <c r="K154" s="24">
        <v>2.5166114784235707E-2</v>
      </c>
      <c r="L154" s="19">
        <v>11.333333333333334</v>
      </c>
      <c r="M154" s="24">
        <v>0.41633319989322704</v>
      </c>
      <c r="N154" s="19">
        <v>106.96666666666665</v>
      </c>
      <c r="O154" s="24">
        <v>20.135623490057117</v>
      </c>
      <c r="P154" s="19">
        <v>122.40194535201204</v>
      </c>
      <c r="Q154" s="24">
        <v>42.249600733512985</v>
      </c>
      <c r="R154" s="19">
        <v>5.8393023980067973</v>
      </c>
      <c r="S154" s="20">
        <v>44944</v>
      </c>
      <c r="T154" s="21">
        <v>0.59097222222222223</v>
      </c>
      <c r="U154" s="13">
        <f t="shared" si="14"/>
        <v>11</v>
      </c>
    </row>
    <row r="155" spans="1:21" x14ac:dyDescent="0.35">
      <c r="A155" t="str">
        <f t="shared" si="10"/>
        <v>ESTUDIO SEGUIMIENTO DESEMPEÑO AMBIENTAL ACUICULTURA EN CHILE Y SU EFECTO EN LOS ECOSISTEMAS DE EMPLAZAMIENTO 2022-2023</v>
      </c>
      <c r="B155" t="str">
        <f t="shared" si="11"/>
        <v>Objetivo 1. Actividad 2. Muestreos y Analisis sedimentos</v>
      </c>
      <c r="C155" t="str">
        <f t="shared" si="12"/>
        <v>Gastón Vidal</v>
      </c>
      <c r="D155" t="str">
        <f t="shared" si="13"/>
        <v>INSTITUTO DE FOMENTO PESQUERO</v>
      </c>
      <c r="E155" s="14" t="s">
        <v>36</v>
      </c>
      <c r="F155" s="15" t="s">
        <v>317</v>
      </c>
      <c r="G155" s="16">
        <v>13</v>
      </c>
      <c r="H155" s="17" t="s">
        <v>330</v>
      </c>
      <c r="I155" s="17" t="s">
        <v>331</v>
      </c>
      <c r="J155" s="19">
        <v>7.09</v>
      </c>
      <c r="K155" s="24">
        <v>2.0000000000000018E-2</v>
      </c>
      <c r="L155" s="19">
        <v>12</v>
      </c>
      <c r="M155" s="24">
        <v>0.43588989435406744</v>
      </c>
      <c r="N155" s="19">
        <v>320.43333333333334</v>
      </c>
      <c r="O155" s="24">
        <v>16.150025799772987</v>
      </c>
      <c r="P155" s="19">
        <v>25.968527649648092</v>
      </c>
      <c r="Q155" s="24">
        <v>2.7659115235478091</v>
      </c>
      <c r="R155" s="19">
        <v>3.920292619437681</v>
      </c>
      <c r="S155" s="20">
        <v>44944</v>
      </c>
      <c r="T155" s="21">
        <v>0.61458333333333337</v>
      </c>
      <c r="U155" s="13">
        <f t="shared" si="14"/>
        <v>13</v>
      </c>
    </row>
    <row r="156" spans="1:21" x14ac:dyDescent="0.35">
      <c r="A156" t="str">
        <f t="shared" si="10"/>
        <v>ESTUDIO SEGUIMIENTO DESEMPEÑO AMBIENTAL ACUICULTURA EN CHILE Y SU EFECTO EN LOS ECOSISTEMAS DE EMPLAZAMIENTO 2022-2023</v>
      </c>
      <c r="B156" t="str">
        <f t="shared" si="11"/>
        <v>Objetivo 1. Actividad 2. Muestreos y Analisis sedimentos</v>
      </c>
      <c r="C156" t="str">
        <f t="shared" si="12"/>
        <v>Gastón Vidal</v>
      </c>
      <c r="D156" t="str">
        <f t="shared" si="13"/>
        <v>INSTITUTO DE FOMENTO PESQUERO</v>
      </c>
      <c r="E156" s="14" t="s">
        <v>36</v>
      </c>
      <c r="F156" s="15" t="s">
        <v>317</v>
      </c>
      <c r="G156" s="16">
        <v>14</v>
      </c>
      <c r="H156" s="17" t="s">
        <v>332</v>
      </c>
      <c r="I156" s="17" t="s">
        <v>333</v>
      </c>
      <c r="J156" s="19">
        <v>7.5066666666666668</v>
      </c>
      <c r="K156" s="24">
        <v>4.725815626252592E-2</v>
      </c>
      <c r="L156" s="19">
        <v>11</v>
      </c>
      <c r="M156" s="24">
        <v>1.9924858845171343</v>
      </c>
      <c r="N156" s="19">
        <v>66.466666666666669</v>
      </c>
      <c r="O156" s="24">
        <v>23.599646890013705</v>
      </c>
      <c r="P156" s="19">
        <v>37.789238825886706</v>
      </c>
      <c r="Q156" s="24">
        <v>7.9649740756985956</v>
      </c>
      <c r="R156" s="19">
        <v>9.4456762749446117</v>
      </c>
      <c r="S156" s="20">
        <v>44936</v>
      </c>
      <c r="T156" s="21">
        <v>0.4291666666666667</v>
      </c>
      <c r="U156" s="13">
        <f t="shared" si="14"/>
        <v>14</v>
      </c>
    </row>
    <row r="157" spans="1:21" x14ac:dyDescent="0.35">
      <c r="S157" s="20"/>
    </row>
  </sheetData>
  <conditionalFormatting sqref="H127:I148 H111:I125 H83:I109 H80:I81 H56:I78 H27:I44">
    <cfRule type="containsText" dxfId="11" priority="11" stopIfTrue="1" operator="containsText" text="sd">
      <formula>NOT(ISERROR(SEARCH("sd",H27)))</formula>
    </cfRule>
  </conditionalFormatting>
  <conditionalFormatting sqref="H45:I48">
    <cfRule type="containsText" dxfId="10" priority="10" stopIfTrue="1" operator="containsText" text="sd">
      <formula>NOT(ISERROR(SEARCH("sd",H45)))</formula>
    </cfRule>
  </conditionalFormatting>
  <conditionalFormatting sqref="H49:I55">
    <cfRule type="containsText" dxfId="9" priority="9" stopIfTrue="1" operator="containsText" text="sd">
      <formula>NOT(ISERROR(SEARCH("sd",H49)))</formula>
    </cfRule>
  </conditionalFormatting>
  <conditionalFormatting sqref="H110:I110">
    <cfRule type="containsText" dxfId="8" priority="8" stopIfTrue="1" operator="containsText" text="sd">
      <formula>NOT(ISERROR(SEARCH("sd",H110)))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2026-01-13T12:31:58Z</dcterms:modified>
</cp:coreProperties>
</file>