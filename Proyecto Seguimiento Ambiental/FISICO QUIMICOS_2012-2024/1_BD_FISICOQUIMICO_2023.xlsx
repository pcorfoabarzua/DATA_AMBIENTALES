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CCFBBACF-8937-4E4D-B656-0102A1902BEE}" xr6:coauthVersionLast="34" xr6:coauthVersionMax="34" xr10:uidLastSave="{00000000-0000-0000-0000-000000000000}"/>
  <bookViews>
    <workbookView xWindow="0" yWindow="0" windowWidth="22260" windowHeight="12650" xr2:uid="{00000000-000D-0000-FFFF-FFFF00000000}"/>
  </bookViews>
  <sheets>
    <sheet name="202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8" i="1" l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A18" i="1"/>
  <c r="B18" i="1"/>
  <c r="C18" i="1"/>
  <c r="D18" i="1"/>
  <c r="A19" i="1"/>
  <c r="B19" i="1"/>
  <c r="C19" i="1"/>
  <c r="D19" i="1"/>
  <c r="A20" i="1"/>
  <c r="B20" i="1"/>
  <c r="C20" i="1"/>
  <c r="D20" i="1"/>
  <c r="A21" i="1"/>
  <c r="B21" i="1"/>
  <c r="C21" i="1"/>
  <c r="D21" i="1"/>
  <c r="A22" i="1"/>
  <c r="B22" i="1"/>
  <c r="C22" i="1"/>
  <c r="D22" i="1"/>
  <c r="A23" i="1"/>
  <c r="B23" i="1"/>
  <c r="C23" i="1"/>
  <c r="D23" i="1"/>
  <c r="A24" i="1"/>
  <c r="B24" i="1"/>
  <c r="C24" i="1"/>
  <c r="D24" i="1"/>
  <c r="A25" i="1"/>
  <c r="B25" i="1"/>
  <c r="C25" i="1"/>
  <c r="D25" i="1"/>
  <c r="A26" i="1"/>
  <c r="B26" i="1"/>
  <c r="C26" i="1"/>
  <c r="D26" i="1"/>
  <c r="A27" i="1"/>
  <c r="B27" i="1"/>
  <c r="C27" i="1"/>
  <c r="D27" i="1"/>
  <c r="A28" i="1"/>
  <c r="B28" i="1"/>
  <c r="C28" i="1"/>
  <c r="D28" i="1"/>
  <c r="A29" i="1"/>
  <c r="B29" i="1"/>
  <c r="C29" i="1"/>
  <c r="D29" i="1"/>
  <c r="A30" i="1"/>
  <c r="B30" i="1"/>
  <c r="C30" i="1"/>
  <c r="D30" i="1"/>
  <c r="A31" i="1"/>
  <c r="B31" i="1"/>
  <c r="C31" i="1"/>
  <c r="D31" i="1"/>
  <c r="A32" i="1"/>
  <c r="B32" i="1"/>
  <c r="C32" i="1"/>
  <c r="D32" i="1"/>
  <c r="A33" i="1"/>
  <c r="B33" i="1"/>
  <c r="C33" i="1"/>
  <c r="D33" i="1"/>
  <c r="A34" i="1"/>
  <c r="B34" i="1"/>
  <c r="C34" i="1"/>
  <c r="D34" i="1"/>
  <c r="A35" i="1"/>
  <c r="B35" i="1"/>
  <c r="C35" i="1"/>
  <c r="D35" i="1"/>
  <c r="A36" i="1"/>
  <c r="B36" i="1"/>
  <c r="C36" i="1"/>
  <c r="D36" i="1"/>
  <c r="A37" i="1"/>
  <c r="B37" i="1"/>
  <c r="C37" i="1"/>
  <c r="D37" i="1"/>
  <c r="A38" i="1"/>
  <c r="B38" i="1"/>
  <c r="C38" i="1"/>
  <c r="D38" i="1"/>
  <c r="A39" i="1"/>
  <c r="B39" i="1"/>
  <c r="C39" i="1"/>
  <c r="D39" i="1"/>
  <c r="A40" i="1"/>
  <c r="B40" i="1"/>
  <c r="C40" i="1"/>
  <c r="D40" i="1"/>
  <c r="A41" i="1"/>
  <c r="B41" i="1"/>
  <c r="C41" i="1"/>
  <c r="D41" i="1"/>
  <c r="A42" i="1"/>
  <c r="B42" i="1"/>
  <c r="C42" i="1"/>
  <c r="D42" i="1"/>
  <c r="A43" i="1"/>
  <c r="B43" i="1"/>
  <c r="C43" i="1"/>
  <c r="D43" i="1"/>
  <c r="A44" i="1"/>
  <c r="B44" i="1"/>
  <c r="C44" i="1"/>
  <c r="D44" i="1"/>
  <c r="A45" i="1"/>
  <c r="B45" i="1"/>
  <c r="C45" i="1"/>
  <c r="D45" i="1"/>
  <c r="A46" i="1"/>
  <c r="B46" i="1"/>
  <c r="C46" i="1"/>
  <c r="D46" i="1"/>
  <c r="A47" i="1"/>
  <c r="B47" i="1"/>
  <c r="C47" i="1"/>
  <c r="D47" i="1"/>
  <c r="A48" i="1"/>
  <c r="B48" i="1"/>
  <c r="C48" i="1"/>
  <c r="D48" i="1"/>
  <c r="A49" i="1"/>
  <c r="B49" i="1"/>
  <c r="C49" i="1"/>
  <c r="D49" i="1"/>
  <c r="A50" i="1"/>
  <c r="B50" i="1"/>
  <c r="C50" i="1"/>
  <c r="D50" i="1"/>
  <c r="A51" i="1"/>
  <c r="B51" i="1"/>
  <c r="C51" i="1"/>
  <c r="D51" i="1"/>
  <c r="A52" i="1"/>
  <c r="B52" i="1"/>
  <c r="C52" i="1"/>
  <c r="D52" i="1"/>
  <c r="A53" i="1"/>
  <c r="B53" i="1"/>
  <c r="C53" i="1"/>
  <c r="D53" i="1"/>
  <c r="A54" i="1"/>
  <c r="B54" i="1"/>
  <c r="C54" i="1"/>
  <c r="D54" i="1"/>
  <c r="A55" i="1"/>
  <c r="B55" i="1"/>
  <c r="C55" i="1"/>
  <c r="D55" i="1"/>
  <c r="A56" i="1"/>
  <c r="B56" i="1"/>
  <c r="C56" i="1"/>
  <c r="D56" i="1"/>
  <c r="A57" i="1"/>
  <c r="B57" i="1"/>
  <c r="C57" i="1"/>
  <c r="D57" i="1"/>
  <c r="A58" i="1"/>
  <c r="B58" i="1"/>
  <c r="C58" i="1"/>
  <c r="D58" i="1"/>
  <c r="A59" i="1"/>
  <c r="B59" i="1"/>
  <c r="C59" i="1"/>
  <c r="D59" i="1"/>
  <c r="A60" i="1"/>
  <c r="B60" i="1"/>
  <c r="C60" i="1"/>
  <c r="D60" i="1"/>
  <c r="A61" i="1"/>
  <c r="B61" i="1"/>
  <c r="C61" i="1"/>
  <c r="D61" i="1"/>
  <c r="A62" i="1"/>
  <c r="B62" i="1"/>
  <c r="C62" i="1"/>
  <c r="D62" i="1"/>
  <c r="A63" i="1"/>
  <c r="B63" i="1"/>
  <c r="C63" i="1"/>
  <c r="D63" i="1"/>
  <c r="A64" i="1"/>
  <c r="B64" i="1"/>
  <c r="C64" i="1"/>
  <c r="D64" i="1"/>
  <c r="A65" i="1"/>
  <c r="B65" i="1"/>
  <c r="C65" i="1"/>
  <c r="D65" i="1"/>
  <c r="A66" i="1"/>
  <c r="B66" i="1"/>
  <c r="C66" i="1"/>
  <c r="D66" i="1"/>
  <c r="A67" i="1"/>
  <c r="B67" i="1"/>
  <c r="C67" i="1"/>
  <c r="D67" i="1"/>
  <c r="A68" i="1"/>
  <c r="B68" i="1"/>
  <c r="C68" i="1"/>
  <c r="D68" i="1"/>
  <c r="A69" i="1"/>
  <c r="B69" i="1"/>
  <c r="C69" i="1"/>
  <c r="D69" i="1"/>
  <c r="A70" i="1"/>
  <c r="B70" i="1"/>
  <c r="C70" i="1"/>
  <c r="D70" i="1"/>
  <c r="A71" i="1"/>
  <c r="B71" i="1"/>
  <c r="C71" i="1"/>
  <c r="D71" i="1"/>
  <c r="A72" i="1"/>
  <c r="B72" i="1"/>
  <c r="C72" i="1"/>
  <c r="D72" i="1"/>
  <c r="A73" i="1"/>
  <c r="B73" i="1"/>
  <c r="C73" i="1"/>
  <c r="D73" i="1"/>
  <c r="A74" i="1"/>
  <c r="B74" i="1"/>
  <c r="C74" i="1"/>
  <c r="D74" i="1"/>
  <c r="A75" i="1"/>
  <c r="B75" i="1"/>
  <c r="C75" i="1"/>
  <c r="D75" i="1"/>
  <c r="A76" i="1"/>
  <c r="B76" i="1"/>
  <c r="C76" i="1"/>
  <c r="D76" i="1"/>
  <c r="A77" i="1"/>
  <c r="B77" i="1"/>
  <c r="C77" i="1"/>
  <c r="D77" i="1"/>
  <c r="A78" i="1"/>
  <c r="B78" i="1"/>
  <c r="C78" i="1"/>
  <c r="D78" i="1"/>
  <c r="A79" i="1"/>
  <c r="B79" i="1"/>
  <c r="C79" i="1"/>
  <c r="D79" i="1"/>
  <c r="A80" i="1"/>
  <c r="B80" i="1"/>
  <c r="C80" i="1"/>
  <c r="D80" i="1"/>
  <c r="A81" i="1"/>
  <c r="B81" i="1"/>
  <c r="C81" i="1"/>
  <c r="D81" i="1"/>
  <c r="A82" i="1"/>
  <c r="B82" i="1"/>
  <c r="C82" i="1"/>
  <c r="D82" i="1"/>
  <c r="A83" i="1"/>
  <c r="B83" i="1"/>
  <c r="C83" i="1"/>
  <c r="D83" i="1"/>
  <c r="A84" i="1"/>
  <c r="B84" i="1"/>
  <c r="C84" i="1"/>
  <c r="D84" i="1"/>
  <c r="A85" i="1"/>
  <c r="B85" i="1"/>
  <c r="C85" i="1"/>
  <c r="D85" i="1"/>
  <c r="A86" i="1"/>
  <c r="B86" i="1"/>
  <c r="C86" i="1"/>
  <c r="D86" i="1"/>
  <c r="A87" i="1"/>
  <c r="B87" i="1"/>
  <c r="C87" i="1"/>
  <c r="D87" i="1"/>
  <c r="A88" i="1"/>
  <c r="B88" i="1"/>
  <c r="C88" i="1"/>
  <c r="D88" i="1"/>
  <c r="A89" i="1"/>
  <c r="B89" i="1"/>
  <c r="C89" i="1"/>
  <c r="D89" i="1"/>
  <c r="A90" i="1"/>
  <c r="B90" i="1"/>
  <c r="C90" i="1"/>
  <c r="D90" i="1"/>
  <c r="A91" i="1"/>
  <c r="B91" i="1"/>
  <c r="C91" i="1"/>
  <c r="D91" i="1"/>
  <c r="A92" i="1"/>
  <c r="B92" i="1"/>
  <c r="C92" i="1"/>
  <c r="D92" i="1"/>
  <c r="A93" i="1"/>
  <c r="B93" i="1"/>
  <c r="C93" i="1"/>
  <c r="D93" i="1"/>
  <c r="A94" i="1"/>
  <c r="B94" i="1"/>
  <c r="C94" i="1"/>
  <c r="D94" i="1"/>
  <c r="A95" i="1"/>
  <c r="B95" i="1"/>
  <c r="C95" i="1"/>
  <c r="D95" i="1"/>
  <c r="A96" i="1"/>
  <c r="B96" i="1"/>
  <c r="C96" i="1"/>
  <c r="D96" i="1"/>
  <c r="A97" i="1"/>
  <c r="B97" i="1"/>
  <c r="C97" i="1"/>
  <c r="D97" i="1"/>
  <c r="A98" i="1"/>
  <c r="B98" i="1"/>
  <c r="C98" i="1"/>
  <c r="D98" i="1"/>
  <c r="A99" i="1"/>
  <c r="B99" i="1"/>
  <c r="C99" i="1"/>
  <c r="D99" i="1"/>
  <c r="A100" i="1"/>
  <c r="B100" i="1"/>
  <c r="C100" i="1"/>
  <c r="D100" i="1"/>
  <c r="A101" i="1"/>
  <c r="B101" i="1"/>
  <c r="C101" i="1"/>
  <c r="D101" i="1"/>
  <c r="A102" i="1"/>
  <c r="B102" i="1"/>
  <c r="C102" i="1"/>
  <c r="D102" i="1"/>
  <c r="A103" i="1"/>
  <c r="B103" i="1"/>
  <c r="C103" i="1"/>
  <c r="D103" i="1"/>
  <c r="A104" i="1"/>
  <c r="B104" i="1"/>
  <c r="C104" i="1"/>
  <c r="D104" i="1"/>
  <c r="A105" i="1"/>
  <c r="B105" i="1"/>
  <c r="C105" i="1"/>
  <c r="D105" i="1"/>
  <c r="A106" i="1"/>
  <c r="B106" i="1"/>
  <c r="C106" i="1"/>
  <c r="D106" i="1"/>
  <c r="A107" i="1"/>
  <c r="B107" i="1"/>
  <c r="C107" i="1"/>
  <c r="D107" i="1"/>
  <c r="A108" i="1"/>
  <c r="B108" i="1"/>
  <c r="C108" i="1"/>
  <c r="D108" i="1"/>
  <c r="A109" i="1"/>
  <c r="B109" i="1"/>
  <c r="C109" i="1"/>
  <c r="D109" i="1"/>
  <c r="A110" i="1"/>
  <c r="B110" i="1"/>
  <c r="C110" i="1"/>
  <c r="D110" i="1"/>
  <c r="A111" i="1"/>
  <c r="B111" i="1"/>
  <c r="C111" i="1"/>
  <c r="D111" i="1"/>
  <c r="A112" i="1"/>
  <c r="B112" i="1"/>
  <c r="C112" i="1"/>
  <c r="D112" i="1"/>
  <c r="A113" i="1"/>
  <c r="B113" i="1"/>
  <c r="C113" i="1"/>
  <c r="D113" i="1"/>
  <c r="A114" i="1"/>
  <c r="B114" i="1"/>
  <c r="C114" i="1"/>
  <c r="D114" i="1"/>
  <c r="A115" i="1"/>
  <c r="B115" i="1"/>
  <c r="C115" i="1"/>
  <c r="D115" i="1"/>
  <c r="A116" i="1"/>
  <c r="B116" i="1"/>
  <c r="C116" i="1"/>
  <c r="D116" i="1"/>
  <c r="A117" i="1"/>
  <c r="B117" i="1"/>
  <c r="C117" i="1"/>
  <c r="D117" i="1"/>
  <c r="A118" i="1"/>
  <c r="B118" i="1"/>
  <c r="C118" i="1"/>
  <c r="D118" i="1"/>
  <c r="A119" i="1"/>
  <c r="B119" i="1"/>
  <c r="C119" i="1"/>
  <c r="D119" i="1"/>
  <c r="A120" i="1"/>
  <c r="B120" i="1"/>
  <c r="C120" i="1"/>
  <c r="D120" i="1"/>
  <c r="A121" i="1"/>
  <c r="B121" i="1"/>
  <c r="C121" i="1"/>
  <c r="D121" i="1"/>
  <c r="A122" i="1"/>
  <c r="B122" i="1"/>
  <c r="C122" i="1"/>
  <c r="D122" i="1"/>
  <c r="A123" i="1"/>
  <c r="B123" i="1"/>
  <c r="C123" i="1"/>
  <c r="D123" i="1"/>
  <c r="A124" i="1"/>
  <c r="B124" i="1"/>
  <c r="C124" i="1"/>
  <c r="D124" i="1"/>
  <c r="A125" i="1"/>
  <c r="B125" i="1"/>
  <c r="C125" i="1"/>
  <c r="D125" i="1"/>
  <c r="A126" i="1"/>
  <c r="B126" i="1"/>
  <c r="C126" i="1"/>
  <c r="D126" i="1"/>
  <c r="A127" i="1"/>
  <c r="B127" i="1"/>
  <c r="C127" i="1"/>
  <c r="D127" i="1"/>
  <c r="A128" i="1"/>
  <c r="B128" i="1"/>
  <c r="C128" i="1"/>
  <c r="D128" i="1"/>
  <c r="A129" i="1"/>
  <c r="B129" i="1"/>
  <c r="C129" i="1"/>
  <c r="D129" i="1"/>
  <c r="A130" i="1"/>
  <c r="B130" i="1"/>
  <c r="C130" i="1"/>
  <c r="D130" i="1"/>
  <c r="A131" i="1"/>
  <c r="B131" i="1"/>
  <c r="C131" i="1"/>
  <c r="D131" i="1"/>
  <c r="A132" i="1"/>
  <c r="B132" i="1"/>
  <c r="C132" i="1"/>
  <c r="D132" i="1"/>
  <c r="A133" i="1"/>
  <c r="B133" i="1"/>
  <c r="C133" i="1"/>
  <c r="D133" i="1"/>
  <c r="A134" i="1"/>
  <c r="B134" i="1"/>
  <c r="C134" i="1"/>
  <c r="D134" i="1"/>
  <c r="A135" i="1"/>
  <c r="B135" i="1"/>
  <c r="C135" i="1"/>
  <c r="D135" i="1"/>
  <c r="A136" i="1"/>
  <c r="B136" i="1"/>
  <c r="C136" i="1"/>
  <c r="D136" i="1"/>
  <c r="A137" i="1"/>
  <c r="B137" i="1"/>
  <c r="C137" i="1"/>
  <c r="D137" i="1"/>
  <c r="A138" i="1"/>
  <c r="B138" i="1"/>
  <c r="C138" i="1"/>
  <c r="D138" i="1"/>
  <c r="A139" i="1"/>
  <c r="B139" i="1"/>
  <c r="C139" i="1"/>
  <c r="D139" i="1"/>
  <c r="A140" i="1"/>
  <c r="B140" i="1"/>
  <c r="C140" i="1"/>
  <c r="D140" i="1"/>
  <c r="A141" i="1"/>
  <c r="B141" i="1"/>
  <c r="C141" i="1"/>
  <c r="D141" i="1"/>
  <c r="A142" i="1"/>
  <c r="B142" i="1"/>
  <c r="C142" i="1"/>
  <c r="D142" i="1"/>
  <c r="A143" i="1"/>
  <c r="B143" i="1"/>
  <c r="C143" i="1"/>
  <c r="D143" i="1"/>
  <c r="A144" i="1"/>
  <c r="B144" i="1"/>
  <c r="C144" i="1"/>
  <c r="D144" i="1"/>
  <c r="A145" i="1"/>
  <c r="B145" i="1"/>
  <c r="C145" i="1"/>
  <c r="D145" i="1"/>
  <c r="A146" i="1"/>
  <c r="B146" i="1"/>
  <c r="C146" i="1"/>
  <c r="D146" i="1"/>
  <c r="A147" i="1"/>
  <c r="B147" i="1"/>
  <c r="C147" i="1"/>
  <c r="D147" i="1"/>
  <c r="A148" i="1"/>
  <c r="B148" i="1"/>
  <c r="C148" i="1"/>
  <c r="D148" i="1"/>
  <c r="A149" i="1"/>
  <c r="B149" i="1"/>
  <c r="C149" i="1"/>
  <c r="D149" i="1"/>
  <c r="A150" i="1"/>
  <c r="B150" i="1"/>
  <c r="C150" i="1"/>
  <c r="D150" i="1"/>
  <c r="A151" i="1"/>
  <c r="B151" i="1"/>
  <c r="C151" i="1"/>
  <c r="D151" i="1"/>
  <c r="A152" i="1"/>
  <c r="B152" i="1"/>
  <c r="C152" i="1"/>
  <c r="D152" i="1"/>
  <c r="A153" i="1"/>
  <c r="B153" i="1"/>
  <c r="C153" i="1"/>
  <c r="D153" i="1"/>
  <c r="A154" i="1"/>
  <c r="B154" i="1"/>
  <c r="C154" i="1"/>
  <c r="D154" i="1"/>
  <c r="A155" i="1"/>
  <c r="B155" i="1"/>
  <c r="C155" i="1"/>
  <c r="D155" i="1"/>
  <c r="A156" i="1"/>
  <c r="B156" i="1"/>
  <c r="C156" i="1"/>
  <c r="D156" i="1"/>
  <c r="A157" i="1"/>
  <c r="B157" i="1"/>
  <c r="C157" i="1"/>
  <c r="D157" i="1"/>
  <c r="A158" i="1"/>
  <c r="B158" i="1"/>
  <c r="C158" i="1"/>
  <c r="D158" i="1"/>
  <c r="A159" i="1"/>
  <c r="B159" i="1"/>
  <c r="C159" i="1"/>
  <c r="D159" i="1"/>
  <c r="A160" i="1"/>
  <c r="B160" i="1"/>
  <c r="C160" i="1"/>
  <c r="D160" i="1"/>
  <c r="A161" i="1"/>
  <c r="B161" i="1"/>
  <c r="C161" i="1"/>
  <c r="D161" i="1"/>
  <c r="A162" i="1"/>
  <c r="B162" i="1"/>
  <c r="C162" i="1"/>
  <c r="D162" i="1"/>
  <c r="A163" i="1"/>
  <c r="B163" i="1"/>
  <c r="C163" i="1"/>
  <c r="D163" i="1"/>
  <c r="A164" i="1"/>
  <c r="B164" i="1"/>
  <c r="C164" i="1"/>
  <c r="D164" i="1"/>
  <c r="D17" i="1"/>
  <c r="C17" i="1"/>
  <c r="B17" i="1"/>
  <c r="U17" i="1" l="1"/>
  <c r="A17" i="1"/>
</calcChain>
</file>

<file path=xl/sharedStrings.xml><?xml version="1.0" encoding="utf-8"?>
<sst xmlns="http://schemas.openxmlformats.org/spreadsheetml/2006/main" count="791" uniqueCount="384">
  <si>
    <t>Nombre del Proyecto: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</si>
  <si>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</si>
  <si>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</si>
  <si>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</si>
  <si>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</si>
  <si>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</si>
  <si>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</si>
  <si>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 xml:space="preserve">Nombre Sector: </t>
  </si>
  <si>
    <t>Región:</t>
  </si>
  <si>
    <t>Variables:</t>
  </si>
  <si>
    <t>Ph, Temperatura (°C), Redox transformado EHNHE (mV), Sulfuros (µM), Materia orgánica total (%),  arena(%), fango(%), grava(%), tamaño medio (Φ) y selección (Φ).</t>
  </si>
  <si>
    <t>Año muestreo:</t>
  </si>
  <si>
    <t xml:space="preserve">Equipos de medición: </t>
  </si>
  <si>
    <t xml:space="preserve">Draga Van Veen de 0,1 m2 </t>
  </si>
  <si>
    <t>Orion Star™ A324 pH/ISE Portable Multiparameter Meter. Thermo Scientific™</t>
  </si>
  <si>
    <t>Análisis de Materia organica Total  según Resolucion Exenta  3612-09. MINISTERIO DE ECONOMÍA, FOMENTO Y RECONSTRUCCIÓN; SUBSECRETARÍA DE PESCA</t>
  </si>
  <si>
    <t>Observaciones</t>
  </si>
  <si>
    <t>NOMB_PROY</t>
  </si>
  <si>
    <t>ETAP_PROY</t>
  </si>
  <si>
    <t>JEFE_PROY</t>
  </si>
  <si>
    <t>INST_PROY</t>
  </si>
  <si>
    <t>CAMPAÑA</t>
  </si>
  <si>
    <t>ZONA</t>
  </si>
  <si>
    <t>ESTACION</t>
  </si>
  <si>
    <t xml:space="preserve">Latitud S                </t>
  </si>
  <si>
    <t xml:space="preserve">Longitud W </t>
  </si>
  <si>
    <t>pH</t>
  </si>
  <si>
    <t>(ds)</t>
  </si>
  <si>
    <t>Temperatura (°C)</t>
  </si>
  <si>
    <t>Redox EHNHE (mV)</t>
  </si>
  <si>
    <t xml:space="preserve">Sulfuros (µM)   </t>
  </si>
  <si>
    <t>Materia orgánica total (%)</t>
  </si>
  <si>
    <t>Fecha</t>
  </si>
  <si>
    <t>Hora Muestreo</t>
  </si>
  <si>
    <t>Estacion</t>
  </si>
  <si>
    <t>ESTUDIO SEGUIMIENTO DESEMPEÑO AMBIENTAL ACUICULTURA EN CHILE Y SU EFECTO EN LOS ECOSISTEMAS DE EMPLAZAMIENTO 2023-2024</t>
  </si>
  <si>
    <t>Campaña_Otoño-Inv_2023.Proy.SeguimientoAmbiental</t>
  </si>
  <si>
    <t>Estuario</t>
  </si>
  <si>
    <t>41°26'14,9''</t>
  </si>
  <si>
    <t>72°17'47,9''</t>
  </si>
  <si>
    <t>41°28'07,3''</t>
  </si>
  <si>
    <t>72°18'43,5''</t>
  </si>
  <si>
    <t>41°29'45,4''</t>
  </si>
  <si>
    <t>72°18'45,5''</t>
  </si>
  <si>
    <t>41°30'39,3''</t>
  </si>
  <si>
    <t>72°17'21,1''</t>
  </si>
  <si>
    <t>41°31'32,6''</t>
  </si>
  <si>
    <t>72°20'21,4''</t>
  </si>
  <si>
    <t>41°31'57,8''</t>
  </si>
  <si>
    <t>72°18'02,6''</t>
  </si>
  <si>
    <t>41°35'33,0''</t>
  </si>
  <si>
    <t>72°21'10,7''</t>
  </si>
  <si>
    <t>41°39'38,3''</t>
  </si>
  <si>
    <t>72°20'58,9''</t>
  </si>
  <si>
    <t>41°40'52,7''</t>
  </si>
  <si>
    <t>72°28'01,1''</t>
  </si>
  <si>
    <t>41°43'30,8''</t>
  </si>
  <si>
    <t>72°30'48,5''</t>
  </si>
  <si>
    <t>Reloncavi</t>
  </si>
  <si>
    <t>41°54'20,9''</t>
  </si>
  <si>
    <t>72°52'30,7''</t>
  </si>
  <si>
    <t>41°52'23,0''</t>
  </si>
  <si>
    <t>72°53'51,4''</t>
  </si>
  <si>
    <t>41°53'07,1''</t>
  </si>
  <si>
    <t>72°56'02,6''</t>
  </si>
  <si>
    <t>41°44'13,7''</t>
  </si>
  <si>
    <t>73°02'43,4''</t>
  </si>
  <si>
    <t>41°29'48,4''</t>
  </si>
  <si>
    <t>72°57'30,9''</t>
  </si>
  <si>
    <t>41°31'05,3''</t>
  </si>
  <si>
    <t>72°47'24,2''</t>
  </si>
  <si>
    <t>41°34'50,6''</t>
  </si>
  <si>
    <t>72°43'36,9''</t>
  </si>
  <si>
    <t>41°37'07,8''</t>
  </si>
  <si>
    <t>72°41'52,2''</t>
  </si>
  <si>
    <t>41°37'51,5''</t>
  </si>
  <si>
    <t>72°40'23,2''</t>
  </si>
  <si>
    <t>41°49'43,9''</t>
  </si>
  <si>
    <t>72°47'18,2''</t>
  </si>
  <si>
    <t>Calbuco</t>
  </si>
  <si>
    <t>41°44'42,2''</t>
  </si>
  <si>
    <t>73°06'10,3''</t>
  </si>
  <si>
    <t>41°46'30,1''</t>
  </si>
  <si>
    <t>73°05'05,2''</t>
  </si>
  <si>
    <t>41°43'14,7''</t>
  </si>
  <si>
    <t>73°09'33,2''</t>
  </si>
  <si>
    <t>41°48'22,6''</t>
  </si>
  <si>
    <t>73°10'18,3''</t>
  </si>
  <si>
    <t>41°47'05,8''</t>
  </si>
  <si>
    <t>41°50'16,4''</t>
  </si>
  <si>
    <t>73°04'47,2''</t>
  </si>
  <si>
    <t>41°49'59,8''</t>
  </si>
  <si>
    <t>73°06'29,1''</t>
  </si>
  <si>
    <t>41°50'19,0''</t>
  </si>
  <si>
    <t>73°08'22,5''</t>
  </si>
  <si>
    <t>Chacao</t>
  </si>
  <si>
    <t>41°56'59,3''</t>
  </si>
  <si>
    <t>73°31'34,3''</t>
  </si>
  <si>
    <t>41°54'15,1''</t>
  </si>
  <si>
    <t>73°29'06,8''</t>
  </si>
  <si>
    <t>41°52'17,3''</t>
  </si>
  <si>
    <t>73°31'07,9''</t>
  </si>
  <si>
    <t>41°51'15,7''</t>
  </si>
  <si>
    <t>73°28'51,2''</t>
  </si>
  <si>
    <t>Butachauques</t>
  </si>
  <si>
    <t>42°19'17,6''</t>
  </si>
  <si>
    <t>73°15'19,1''</t>
  </si>
  <si>
    <t>42°17'02,6''</t>
  </si>
  <si>
    <t>73°15'06,7''</t>
  </si>
  <si>
    <t>42°15'56,3''</t>
  </si>
  <si>
    <t>73°09'36,2''</t>
  </si>
  <si>
    <t>42°16'45,3''</t>
  </si>
  <si>
    <t>73°20'49,7''</t>
  </si>
  <si>
    <t>42°12'24,4''</t>
  </si>
  <si>
    <t>73°23'58,0''</t>
  </si>
  <si>
    <t>42°10'21,7''</t>
  </si>
  <si>
    <t>73°26'09,5''</t>
  </si>
  <si>
    <t>42°09'29,5''</t>
  </si>
  <si>
    <t>73°28'04,6''</t>
  </si>
  <si>
    <t>Chaulinec</t>
  </si>
  <si>
    <t>42°36'22,9''</t>
  </si>
  <si>
    <t>73°15'26,5''</t>
  </si>
  <si>
    <t>42°34'22,1''</t>
  </si>
  <si>
    <t>73°13'53,2''</t>
  </si>
  <si>
    <t>42°28'03,3''</t>
  </si>
  <si>
    <t>73°22'56,7''</t>
  </si>
  <si>
    <t>42°24'29,1''</t>
  </si>
  <si>
    <t>73°19'21,4''</t>
  </si>
  <si>
    <t>42°26'34,7''</t>
  </si>
  <si>
    <t>73°30'44,2''</t>
  </si>
  <si>
    <t>Tenaun</t>
  </si>
  <si>
    <t>42°22'46,5''</t>
  </si>
  <si>
    <t>73°35'59,1''</t>
  </si>
  <si>
    <t>42°23'07,4''</t>
  </si>
  <si>
    <t>73°37'44,8''</t>
  </si>
  <si>
    <t>42°22'15,1''</t>
  </si>
  <si>
    <t>73°37'31,1''</t>
  </si>
  <si>
    <t>42°21'39,1''</t>
  </si>
  <si>
    <t>73°34'41,7''</t>
  </si>
  <si>
    <t>42°20'26,0''</t>
  </si>
  <si>
    <t>73°32'00,9''</t>
  </si>
  <si>
    <t>Chiloe central</t>
  </si>
  <si>
    <t>42°30'46,9''</t>
  </si>
  <si>
    <t>73°45'15,6''</t>
  </si>
  <si>
    <t>42°32'59,2''</t>
  </si>
  <si>
    <t>73°40'15,8''</t>
  </si>
  <si>
    <t>42°32'09,3''</t>
  </si>
  <si>
    <t>73°36'13,2''</t>
  </si>
  <si>
    <t>42°30'29,3''</t>
  </si>
  <si>
    <t>73°36'11,3''</t>
  </si>
  <si>
    <t>42°28'33,3''</t>
  </si>
  <si>
    <t>73°32'41,1''</t>
  </si>
  <si>
    <t>42°30'59,3''</t>
  </si>
  <si>
    <t>73°28'21,5''</t>
  </si>
  <si>
    <t>42°42'13,5''</t>
  </si>
  <si>
    <t>73°37'38,2''</t>
  </si>
  <si>
    <t>42°36'54,6''</t>
  </si>
  <si>
    <t>73°27'10,2''</t>
  </si>
  <si>
    <t>Desertores</t>
  </si>
  <si>
    <t>42°47'03,0''</t>
  </si>
  <si>
    <t>72°56'35,9''</t>
  </si>
  <si>
    <t>42°47'56,1''</t>
  </si>
  <si>
    <t>72°57'23,7''</t>
  </si>
  <si>
    <t>42°45'36,0''</t>
  </si>
  <si>
    <t>72°59'51,7''</t>
  </si>
  <si>
    <t>42°42'06,5''</t>
  </si>
  <si>
    <t>73°05'34,1''</t>
  </si>
  <si>
    <t>Quellon</t>
  </si>
  <si>
    <t>43°11'43,2''</t>
  </si>
  <si>
    <t>73°38'11,2''</t>
  </si>
  <si>
    <t>43°07'39,5''</t>
  </si>
  <si>
    <t>73°43'28,6''</t>
  </si>
  <si>
    <t>43°08'32,2''</t>
  </si>
  <si>
    <t>73°40'13,7''</t>
  </si>
  <si>
    <t>43°11'33,5''</t>
  </si>
  <si>
    <t>73°34'23,8''</t>
  </si>
  <si>
    <t>43°08'26,2''</t>
  </si>
  <si>
    <t>73°33'10,7''</t>
  </si>
  <si>
    <t>43°03'07,5''</t>
  </si>
  <si>
    <t>73°27'46,7''</t>
  </si>
  <si>
    <t>43°02'06,1''</t>
  </si>
  <si>
    <t>73°31'33,1''</t>
  </si>
  <si>
    <t>42°59'21,8''</t>
  </si>
  <si>
    <t>73°28'05,5''</t>
  </si>
  <si>
    <t>42°56'21,2''</t>
  </si>
  <si>
    <t>73°36'49,9''</t>
  </si>
  <si>
    <t>42°55'25,9''</t>
  </si>
  <si>
    <t>73°35'04,7''</t>
  </si>
  <si>
    <t>42°51'22,8''</t>
  </si>
  <si>
    <t>73°41'30,9''</t>
  </si>
  <si>
    <t>42°54'15,3''</t>
  </si>
  <si>
    <t>73°29'27,9''</t>
  </si>
  <si>
    <t>Hornopiren</t>
  </si>
  <si>
    <t>42°04'27,1''</t>
  </si>
  <si>
    <t>72°27'59,7''</t>
  </si>
  <si>
    <t>42°02'09,6''</t>
  </si>
  <si>
    <t>72°35'58,5''</t>
  </si>
  <si>
    <t>42°03'01,3''</t>
  </si>
  <si>
    <t>72°35'37,3''</t>
  </si>
  <si>
    <t>42°14'33,8''</t>
  </si>
  <si>
    <t>72°26'50,7''</t>
  </si>
  <si>
    <t>42°15'24,5''</t>
  </si>
  <si>
    <t>72°23'46,8''</t>
  </si>
  <si>
    <t>Ayacara</t>
  </si>
  <si>
    <t>42°18'53,1''</t>
  </si>
  <si>
    <t>72°47'21,9''</t>
  </si>
  <si>
    <t>42°24'34,1''</t>
  </si>
  <si>
    <t>72°43'07,0''</t>
  </si>
  <si>
    <t>42°34'09,7''</t>
  </si>
  <si>
    <t>72°31'39,7''</t>
  </si>
  <si>
    <t>42°31'17,9''</t>
  </si>
  <si>
    <t>72°41'40,8''</t>
  </si>
  <si>
    <t>42°37'30,6''</t>
  </si>
  <si>
    <t>72°51'15,4''</t>
  </si>
  <si>
    <t>42°42'32,8''</t>
  </si>
  <si>
    <t>72°50'58,9''</t>
  </si>
  <si>
    <t>Chaiten</t>
  </si>
  <si>
    <t>42°47'11,1''</t>
  </si>
  <si>
    <t>72°50'49,9''</t>
  </si>
  <si>
    <t>42°55'27,6''</t>
  </si>
  <si>
    <t>72°44'59,6''</t>
  </si>
  <si>
    <t>43°14'38,9''</t>
  </si>
  <si>
    <t>72°53'08,2''</t>
  </si>
  <si>
    <t>43°15'50,9''</t>
  </si>
  <si>
    <t>72°58'35,0''</t>
  </si>
  <si>
    <t>43°35'29,8''</t>
  </si>
  <si>
    <t>73°00'22,5''</t>
  </si>
  <si>
    <t>43°37'57,9''</t>
  </si>
  <si>
    <t>72°57'04,9''</t>
  </si>
  <si>
    <t>43°41'46,5''</t>
  </si>
  <si>
    <t>72°59'44,6''</t>
  </si>
  <si>
    <t>Guaitecas</t>
  </si>
  <si>
    <t>44°29'31,1''</t>
  </si>
  <si>
    <t>74°09'42,8''</t>
  </si>
  <si>
    <t>44°27'08,1''</t>
  </si>
  <si>
    <t>74°08'08,5''</t>
  </si>
  <si>
    <t>44°14'18,4''</t>
  </si>
  <si>
    <t>74°13'20,7''</t>
  </si>
  <si>
    <t>44°08'29,0''</t>
  </si>
  <si>
    <t>74°02'09,0''</t>
  </si>
  <si>
    <t>44°04'53,4''</t>
  </si>
  <si>
    <t>73°52'53,7''</t>
  </si>
  <si>
    <t>43°54'56,5''</t>
  </si>
  <si>
    <t>73°54'32,1''</t>
  </si>
  <si>
    <t>43°53'29,1''</t>
  </si>
  <si>
    <t>73°52'19,9''</t>
  </si>
  <si>
    <t>43°56'38,0''</t>
  </si>
  <si>
    <t>73°48'00,0''</t>
  </si>
  <si>
    <t>44°00'31,4''</t>
  </si>
  <si>
    <t>73°45'11,0''</t>
  </si>
  <si>
    <t>44°17'15,5''</t>
  </si>
  <si>
    <t>73°46'39,1''</t>
  </si>
  <si>
    <t>Moraleda</t>
  </si>
  <si>
    <t>45°11'31,2''</t>
  </si>
  <si>
    <t>73°58'40,6''</t>
  </si>
  <si>
    <t>45°09'57,9''</t>
  </si>
  <si>
    <t>74°08'33,4''</t>
  </si>
  <si>
    <t>45°08'01,8''</t>
  </si>
  <si>
    <t>74°15'20,1''</t>
  </si>
  <si>
    <t>44°41'45,4''</t>
  </si>
  <si>
    <t>73°52'57,1''</t>
  </si>
  <si>
    <t>44°39'35,6''</t>
  </si>
  <si>
    <t>73°52'52,9''</t>
  </si>
  <si>
    <t>44°36'08,6''</t>
  </si>
  <si>
    <t>74°00'25,9''</t>
  </si>
  <si>
    <t>44°33'08,8''</t>
  </si>
  <si>
    <t>74°06'50,1''</t>
  </si>
  <si>
    <t>44°08'30,9''</t>
  </si>
  <si>
    <t>73°35'01,0''</t>
  </si>
  <si>
    <t>43°44'30,9''</t>
  </si>
  <si>
    <t>73°00'56,5''</t>
  </si>
  <si>
    <t>44°02'04,1''</t>
  </si>
  <si>
    <t>73°12'05,2''</t>
  </si>
  <si>
    <t>44°22'48,0''</t>
  </si>
  <si>
    <t>73°04'31,7''</t>
  </si>
  <si>
    <t>45°01'49,0''</t>
  </si>
  <si>
    <t>73°27'02,0''</t>
  </si>
  <si>
    <t>Puyuhuapi</t>
  </si>
  <si>
    <t>44°31'39,8''</t>
  </si>
  <si>
    <t>72°41'17,0''</t>
  </si>
  <si>
    <t>44°39'55,1''</t>
  </si>
  <si>
    <t>72°50'20,8''</t>
  </si>
  <si>
    <t>44°42'09,3''</t>
  </si>
  <si>
    <t>72°48'07,1''</t>
  </si>
  <si>
    <t>44°49'37,8''</t>
  </si>
  <si>
    <t>72°57'57,3''</t>
  </si>
  <si>
    <t>44°54'41,9''</t>
  </si>
  <si>
    <t>73°08'11,9''</t>
  </si>
  <si>
    <t>Aysen</t>
  </si>
  <si>
    <t>45°26'39,7''</t>
  </si>
  <si>
    <t>73°00'33,3''</t>
  </si>
  <si>
    <t>45°19'53,0''</t>
  </si>
  <si>
    <t>73°22'36,0''</t>
  </si>
  <si>
    <t>45°24'21,9''</t>
  </si>
  <si>
    <t>73°32'25,0''</t>
  </si>
  <si>
    <t>45°37'34,9''</t>
  </si>
  <si>
    <t>73°35'50,9''</t>
  </si>
  <si>
    <t>45°45'08,5''</t>
  </si>
  <si>
    <t>73°36'55,3''</t>
  </si>
  <si>
    <t>45°57'17,6''</t>
  </si>
  <si>
    <t>73°36'19,7''</t>
  </si>
  <si>
    <t>46°01'34,6''</t>
  </si>
  <si>
    <t>73°39'17,0''</t>
  </si>
  <si>
    <t>46°13'29,4''</t>
  </si>
  <si>
    <t>73°43'45,5''</t>
  </si>
  <si>
    <t>46°05'57,7''</t>
  </si>
  <si>
    <t>73°52'02,9''</t>
  </si>
  <si>
    <t>46°01'07,9''</t>
  </si>
  <si>
    <t>73°56'45,7''</t>
  </si>
  <si>
    <t>45°44'29,7''</t>
  </si>
  <si>
    <t>74°04'23,3''</t>
  </si>
  <si>
    <t>45°41'37,5''</t>
  </si>
  <si>
    <t>74°17'04,6''</t>
  </si>
  <si>
    <t>45°33'51,4''</t>
  </si>
  <si>
    <t>74°13'10,2''</t>
  </si>
  <si>
    <t>45°23'56,0''</t>
  </si>
  <si>
    <t>74°15'21,0''</t>
  </si>
  <si>
    <t>45°16'59,5''</t>
  </si>
  <si>
    <t>73°43'50,5''</t>
  </si>
  <si>
    <t>Coquimbo</t>
  </si>
  <si>
    <t>30°08'39,9''</t>
  </si>
  <si>
    <t>71°22'56,3''</t>
  </si>
  <si>
    <t>30°11'21,0''</t>
  </si>
  <si>
    <t>71°25'25,0''</t>
  </si>
  <si>
    <t>30°10'46,7''</t>
  </si>
  <si>
    <t>71°26'17,5''</t>
  </si>
  <si>
    <t>30°14'55,9''</t>
  </si>
  <si>
    <t>71°29'25,2''</t>
  </si>
  <si>
    <t>30°16'20,2''</t>
  </si>
  <si>
    <t>71°30'32,0''</t>
  </si>
  <si>
    <t>30°16'12,8''</t>
  </si>
  <si>
    <t>71°31'38,8''</t>
  </si>
  <si>
    <t>30°16'37,0''</t>
  </si>
  <si>
    <t>71°33'06,7''</t>
  </si>
  <si>
    <t>Natales</t>
  </si>
  <si>
    <t>51°36'04,7''</t>
  </si>
  <si>
    <t>72°43'01,6''</t>
  </si>
  <si>
    <t>51°40'18,2''</t>
  </si>
  <si>
    <t>72°37'53,1''</t>
  </si>
  <si>
    <t>51°49'29,7''</t>
  </si>
  <si>
    <t>72°37'39,8''</t>
  </si>
  <si>
    <t>51°46'01,6''</t>
  </si>
  <si>
    <t>72°54'05,0''</t>
  </si>
  <si>
    <t>52°03'57,8''</t>
  </si>
  <si>
    <t>72°56'02,0''</t>
  </si>
  <si>
    <t>52°11'59,7''</t>
  </si>
  <si>
    <t>72°57'03,6''</t>
  </si>
  <si>
    <t>52°13'10,4''</t>
  </si>
  <si>
    <t>72°52'26,1''</t>
  </si>
  <si>
    <t>52°04'39,3''</t>
  </si>
  <si>
    <t>72°39'37,6''</t>
  </si>
  <si>
    <t>sd</t>
  </si>
  <si>
    <t>11/06/2023</t>
  </si>
  <si>
    <t>10/06/2023</t>
  </si>
  <si>
    <t>23/04/2023</t>
  </si>
  <si>
    <t>13/04/2023</t>
  </si>
  <si>
    <t>14-04-2023</t>
  </si>
  <si>
    <t>15/04/2023</t>
  </si>
  <si>
    <t>16/04/2023</t>
  </si>
  <si>
    <t>17/04/2023</t>
  </si>
  <si>
    <t>18/04/2023</t>
  </si>
  <si>
    <t>21/04/2023</t>
  </si>
  <si>
    <t>20/04/2023</t>
  </si>
  <si>
    <t>19/04/2023</t>
  </si>
  <si>
    <t>22/04/2023</t>
  </si>
  <si>
    <t>18/06/2023</t>
  </si>
  <si>
    <t>27/05/2023</t>
  </si>
  <si>
    <t>26/05/2023</t>
  </si>
  <si>
    <t>05/05/2023</t>
  </si>
  <si>
    <t>04/05/2023</t>
  </si>
  <si>
    <t>07/05/2023</t>
  </si>
  <si>
    <t>06/05/2023</t>
  </si>
  <si>
    <t>23/05/2023</t>
  </si>
  <si>
    <t>21/05/2023</t>
  </si>
  <si>
    <t>22/05/2023</t>
  </si>
  <si>
    <t>11.20</t>
  </si>
  <si>
    <t>14/05/2023</t>
  </si>
  <si>
    <t>13/05/2023</t>
  </si>
  <si>
    <t>11/05/2023</t>
  </si>
  <si>
    <t>08/05/2023</t>
  </si>
  <si>
    <t>12/05/2023</t>
  </si>
  <si>
    <t>Un total de 148 estaciones divididas en 19 zonas a lo largo del país desde la Región de Atacama hasta la Región de Magallanes</t>
  </si>
  <si>
    <t>Región de Coquimbo, Región de Los Lagos,  Región de Aysen del General Carlos Ibañez del Campo, Región de Magallanes.</t>
  </si>
  <si>
    <t>Coquimbo (Tongoy),  Seno Reloncaví, Estuario de Reloncavi, Calbuco, Chacao, Butachauques, Chaulinec, Tenaún; Chiloe Central, Desertores, Quellon, Hornopiren, Ayacara, Chaiten, Guaitecas, Moraleda, Puyuhuapi, Aysen, Puerto Natales.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</si>
</sst>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/mm/yyyy;@"/>
    <numFmt numFmtId="166" formatCode="\(0.00\)"/>
    <numFmt numFmtId="167" formatCode="dd/mm/yy;@"/>
  </numFmts>
  <fonts count="13" x14ac:knownFonts="1">
    <font>
      <sz val="11"/>
      <color theme="1"/>
      <name val="Calibri"/>
      <family val="2"/>
      <scheme val="minor"/>
    </font>
    <font>
      <b/>
      <i/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sz val="10"/>
      <name val="Arial Narrow"/>
      <family val="2"/>
    </font>
    <font>
      <b/>
      <i/>
      <sz val="10"/>
      <color theme="1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b/>
      <sz val="11"/>
      <color rgb="FF00B050"/>
      <name val="Calibri"/>
      <family val="2"/>
      <scheme val="minor"/>
    </font>
    <font>
      <sz val="10"/>
      <color rgb="FF0070C0"/>
      <name val="Arial Narrow"/>
      <family val="2"/>
    </font>
    <font>
      <b/>
      <sz val="10"/>
      <color rgb="FF00B050"/>
      <name val="Arial Narrow"/>
      <family val="2"/>
    </font>
    <font>
      <sz val="10"/>
      <color rgb="FFFF0000"/>
      <name val="Arial Narrow"/>
      <family val="2"/>
    </font>
    <font>
      <sz val="10"/>
      <color rgb="FF000000"/>
      <name val="Calibri"/>
      <family val="2"/>
      <scheme val="minor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50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3" fillId="0" borderId="0" xfId="0" applyFont="1" applyFill="1" applyBorder="1"/>
    <xf numFmtId="0" fontId="4" fillId="0" borderId="0" xfId="0" applyFont="1" applyFill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2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166" fontId="3" fillId="0" borderId="0" xfId="0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166" fontId="3" fillId="0" borderId="2" xfId="0" applyNumberFormat="1" applyFont="1" applyFill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2" fontId="3" fillId="0" borderId="3" xfId="0" applyNumberFormat="1" applyFont="1" applyFill="1" applyBorder="1" applyAlignment="1">
      <alignment horizontal="center"/>
    </xf>
    <xf numFmtId="2" fontId="12" fillId="0" borderId="0" xfId="1" applyNumberFormat="1" applyFont="1" applyAlignment="1">
      <alignment horizontal="center"/>
    </xf>
    <xf numFmtId="166" fontId="12" fillId="0" borderId="0" xfId="1" applyNumberFormat="1" applyFont="1" applyAlignment="1">
      <alignment horizontal="center"/>
    </xf>
    <xf numFmtId="2" fontId="3" fillId="0" borderId="4" xfId="0" applyNumberFormat="1" applyFont="1" applyFill="1" applyBorder="1" applyAlignment="1">
      <alignment horizontal="center"/>
    </xf>
    <xf numFmtId="2" fontId="12" fillId="0" borderId="4" xfId="1" applyNumberFormat="1" applyFont="1" applyBorder="1" applyAlignment="1">
      <alignment horizontal="center"/>
    </xf>
    <xf numFmtId="2" fontId="3" fillId="0" borderId="5" xfId="0" applyNumberFormat="1" applyFont="1" applyFill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4" fontId="3" fillId="0" borderId="0" xfId="0" applyNumberFormat="1" applyFont="1" applyFill="1" applyBorder="1" applyAlignment="1">
      <alignment horizontal="center"/>
    </xf>
    <xf numFmtId="20" fontId="3" fillId="0" borderId="0" xfId="0" applyNumberFormat="1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center"/>
    </xf>
    <xf numFmtId="20" fontId="3" fillId="0" borderId="2" xfId="0" applyNumberFormat="1" applyFont="1" applyFill="1" applyBorder="1" applyAlignment="1">
      <alignment horizontal="center"/>
    </xf>
    <xf numFmtId="14" fontId="12" fillId="0" borderId="0" xfId="1" applyNumberFormat="1" applyFont="1" applyAlignment="1">
      <alignment horizontal="center"/>
    </xf>
    <xf numFmtId="20" fontId="12" fillId="0" borderId="0" xfId="1" applyNumberFormat="1" applyFont="1" applyAlignment="1">
      <alignment horizontal="center"/>
    </xf>
    <xf numFmtId="167" fontId="3" fillId="0" borderId="0" xfId="0" applyNumberFormat="1" applyFont="1" applyFill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</cellXfs>
  <cellStyles count="2">
    <cellStyle name="Normal" xfId="0" builtinId="0"/>
    <cellStyle name="Normal 5" xfId="1" xr:uid="{3021E70E-C25B-4BC1-ACAE-8DE8C862E047}"/>
  </cellStyles>
  <dxfs count="8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4"/>
  <sheetViews>
    <sheetView tabSelected="1" topLeftCell="A2" workbookViewId="0">
      <selection activeCell="E22" sqref="E22"/>
    </sheetView>
  </sheetViews>
  <sheetFormatPr baseColWidth="10" defaultColWidth="8.7265625" defaultRowHeight="14.5" x14ac:dyDescent="0.35"/>
  <cols>
    <col min="1" max="1" width="17.08984375" customWidth="1"/>
    <col min="5" max="5" width="15" customWidth="1"/>
    <col min="14" max="14" width="16.453125" bestFit="1" customWidth="1"/>
    <col min="18" max="18" width="22.1796875" bestFit="1" customWidth="1"/>
  </cols>
  <sheetData>
    <row r="1" spans="1:21" x14ac:dyDescent="0.35">
      <c r="A1" s="1" t="s">
        <v>0</v>
      </c>
      <c r="B1" s="2" t="s">
        <v>35</v>
      </c>
    </row>
    <row r="2" spans="1:21" x14ac:dyDescent="0.35">
      <c r="A2" s="1" t="s">
        <v>1</v>
      </c>
      <c r="B2" s="3" t="s">
        <v>2</v>
      </c>
    </row>
    <row r="3" spans="1:21" x14ac:dyDescent="0.35">
      <c r="A3" s="1" t="s">
        <v>3</v>
      </c>
      <c r="B3" s="3" t="s">
        <v>4</v>
      </c>
    </row>
    <row r="4" spans="1:21" x14ac:dyDescent="0.35">
      <c r="A4" s="1" t="s">
        <v>5</v>
      </c>
      <c r="B4" s="3" t="s">
        <v>6</v>
      </c>
    </row>
    <row r="5" spans="1:21" x14ac:dyDescent="0.35">
      <c r="A5" s="1" t="s">
        <v>7</v>
      </c>
      <c r="B5" s="2" t="s">
        <v>383</v>
      </c>
    </row>
    <row r="6" spans="1:21" x14ac:dyDescent="0.35">
      <c r="A6" s="1" t="s">
        <v>8</v>
      </c>
      <c r="B6" s="2" t="s">
        <v>382</v>
      </c>
    </row>
    <row r="7" spans="1:21" x14ac:dyDescent="0.35">
      <c r="A7" s="1" t="s">
        <v>9</v>
      </c>
      <c r="B7" s="2" t="s">
        <v>10</v>
      </c>
    </row>
    <row r="8" spans="1:21" x14ac:dyDescent="0.35">
      <c r="A8" s="1" t="s">
        <v>11</v>
      </c>
      <c r="B8" s="4">
        <v>2023</v>
      </c>
    </row>
    <row r="9" spans="1:21" x14ac:dyDescent="0.35">
      <c r="A9" s="1" t="s">
        <v>12</v>
      </c>
      <c r="B9" s="2" t="s">
        <v>13</v>
      </c>
    </row>
    <row r="10" spans="1:21" x14ac:dyDescent="0.35">
      <c r="A10" s="5"/>
      <c r="B10" s="2" t="s">
        <v>14</v>
      </c>
    </row>
    <row r="11" spans="1:21" x14ac:dyDescent="0.35">
      <c r="A11" s="6"/>
      <c r="B11" s="2" t="s">
        <v>15</v>
      </c>
    </row>
    <row r="12" spans="1:21" x14ac:dyDescent="0.35">
      <c r="A12" s="1" t="s">
        <v>16</v>
      </c>
      <c r="B12" s="2" t="s">
        <v>381</v>
      </c>
    </row>
    <row r="16" spans="1:21" ht="28" x14ac:dyDescent="0.35">
      <c r="A16" s="7" t="s">
        <v>17</v>
      </c>
      <c r="B16" s="7" t="s">
        <v>18</v>
      </c>
      <c r="C16" s="7" t="s">
        <v>19</v>
      </c>
      <c r="D16" s="7" t="s">
        <v>20</v>
      </c>
      <c r="E16" s="7" t="s">
        <v>21</v>
      </c>
      <c r="F16" s="7" t="s">
        <v>22</v>
      </c>
      <c r="G16" s="7" t="s">
        <v>23</v>
      </c>
      <c r="H16" s="8" t="s">
        <v>24</v>
      </c>
      <c r="I16" s="8" t="s">
        <v>25</v>
      </c>
      <c r="J16" s="7" t="s">
        <v>26</v>
      </c>
      <c r="K16" s="7" t="s">
        <v>27</v>
      </c>
      <c r="L16" s="9" t="s">
        <v>28</v>
      </c>
      <c r="M16" s="7" t="s">
        <v>27</v>
      </c>
      <c r="N16" s="9" t="s">
        <v>29</v>
      </c>
      <c r="O16" s="7" t="s">
        <v>27</v>
      </c>
      <c r="P16" s="9" t="s">
        <v>30</v>
      </c>
      <c r="Q16" s="7" t="s">
        <v>27</v>
      </c>
      <c r="R16" s="9" t="s">
        <v>31</v>
      </c>
      <c r="S16" s="10" t="s">
        <v>32</v>
      </c>
      <c r="T16" s="11" t="s">
        <v>33</v>
      </c>
      <c r="U16" s="12" t="s">
        <v>34</v>
      </c>
    </row>
    <row r="17" spans="1:21" x14ac:dyDescent="0.35">
      <c r="A17" t="str">
        <f>$B$1</f>
        <v>ESTUDIO SEGUIMIENTO DESEMPEÑO AMBIENTAL ACUICULTURA EN CHILE Y SU EFECTO EN LOS ECOSISTEMAS DE EMPLAZAMIENTO 2023-2024</v>
      </c>
      <c r="B17" t="str">
        <f>$B$2</f>
        <v>Objetivo 1. Actividad 2. Muestreos y Analisis sedimentos</v>
      </c>
      <c r="C17" t="str">
        <f>$B$3</f>
        <v>Gastón Vidal</v>
      </c>
      <c r="D17" t="str">
        <f>$B$4</f>
        <v>INSTITUTO DE FOMENTO PESQUERO</v>
      </c>
      <c r="E17" s="14" t="s">
        <v>36</v>
      </c>
      <c r="F17" s="15" t="s">
        <v>37</v>
      </c>
      <c r="G17" s="16">
        <v>1</v>
      </c>
      <c r="H17" s="17" t="s">
        <v>38</v>
      </c>
      <c r="I17" s="17" t="s">
        <v>39</v>
      </c>
      <c r="J17" s="23">
        <v>7.0233333333333334</v>
      </c>
      <c r="K17" s="24">
        <v>3.5118845842842181E-2</v>
      </c>
      <c r="L17" s="25">
        <v>11.366666666666665</v>
      </c>
      <c r="M17" s="24">
        <v>0.37859388972001889</v>
      </c>
      <c r="N17" s="25">
        <v>116.73333333333335</v>
      </c>
      <c r="O17" s="24">
        <v>28.324253447060681</v>
      </c>
      <c r="P17" s="25">
        <v>51.551157203142452</v>
      </c>
      <c r="Q17" s="24">
        <v>8.562065715984815</v>
      </c>
      <c r="R17" s="23">
        <v>4.9585637738839914</v>
      </c>
      <c r="S17" s="38" t="s">
        <v>352</v>
      </c>
      <c r="T17" s="39">
        <v>0.37777777777777777</v>
      </c>
      <c r="U17" s="13">
        <f>G17</f>
        <v>1</v>
      </c>
    </row>
    <row r="18" spans="1:21" x14ac:dyDescent="0.35">
      <c r="A18" t="str">
        <f t="shared" ref="A18:A81" si="0">$B$1</f>
        <v>ESTUDIO SEGUIMIENTO DESEMPEÑO AMBIENTAL ACUICULTURA EN CHILE Y SU EFECTO EN LOS ECOSISTEMAS DE EMPLAZAMIENTO 2023-2024</v>
      </c>
      <c r="B18" t="str">
        <f t="shared" ref="B18:B81" si="1">$B$2</f>
        <v>Objetivo 1. Actividad 2. Muestreos y Analisis sedimentos</v>
      </c>
      <c r="C18" t="str">
        <f t="shared" ref="C18:C81" si="2">$B$3</f>
        <v>Gastón Vidal</v>
      </c>
      <c r="D18" t="str">
        <f t="shared" ref="D18:D81" si="3">$B$4</f>
        <v>INSTITUTO DE FOMENTO PESQUERO</v>
      </c>
      <c r="E18" s="14" t="s">
        <v>36</v>
      </c>
      <c r="F18" s="15" t="s">
        <v>37</v>
      </c>
      <c r="G18" s="16">
        <v>2</v>
      </c>
      <c r="H18" s="17" t="s">
        <v>40</v>
      </c>
      <c r="I18" s="17" t="s">
        <v>41</v>
      </c>
      <c r="J18" s="23">
        <v>7.2633333333333328</v>
      </c>
      <c r="K18" s="24">
        <v>0.14011899704655786</v>
      </c>
      <c r="L18" s="25">
        <v>11.466666666666669</v>
      </c>
      <c r="M18" s="24">
        <v>0.28867513459481292</v>
      </c>
      <c r="N18" s="25">
        <v>103.56666666666668</v>
      </c>
      <c r="O18" s="24">
        <v>28.739577821069776</v>
      </c>
      <c r="P18" s="25">
        <v>3.0888213231466413</v>
      </c>
      <c r="Q18" s="24">
        <v>1.0410684307249314</v>
      </c>
      <c r="R18" s="23">
        <v>3.3574218750000155</v>
      </c>
      <c r="S18" s="38" t="s">
        <v>352</v>
      </c>
      <c r="T18" s="39">
        <v>0.3611111111111111</v>
      </c>
      <c r="U18" s="13">
        <f t="shared" ref="U18:U81" si="4">G18</f>
        <v>2</v>
      </c>
    </row>
    <row r="19" spans="1:21" x14ac:dyDescent="0.35">
      <c r="A19" t="str">
        <f t="shared" si="0"/>
        <v>ESTUDIO SEGUIMIENTO DESEMPEÑO AMBIENTAL ACUICULTURA EN CHILE Y SU EFECTO EN LOS ECOSISTEMAS DE EMPLAZAMIENTO 2023-2024</v>
      </c>
      <c r="B19" t="str">
        <f t="shared" si="1"/>
        <v>Objetivo 1. Actividad 2. Muestreos y Analisis sedimentos</v>
      </c>
      <c r="C19" t="str">
        <f t="shared" si="2"/>
        <v>Gastón Vidal</v>
      </c>
      <c r="D19" t="str">
        <f t="shared" si="3"/>
        <v>INSTITUTO DE FOMENTO PESQUERO</v>
      </c>
      <c r="E19" s="14" t="s">
        <v>36</v>
      </c>
      <c r="F19" s="15" t="s">
        <v>37</v>
      </c>
      <c r="G19" s="16">
        <v>3</v>
      </c>
      <c r="H19" s="17" t="s">
        <v>42</v>
      </c>
      <c r="I19" s="17" t="s">
        <v>43</v>
      </c>
      <c r="J19" s="23">
        <v>7.3266666666666671</v>
      </c>
      <c r="K19" s="24">
        <v>8.9628864398324917E-2</v>
      </c>
      <c r="L19" s="25">
        <v>11.233333333333334</v>
      </c>
      <c r="M19" s="24">
        <v>0.75055534994651296</v>
      </c>
      <c r="N19" s="25">
        <v>154.83333333333334</v>
      </c>
      <c r="O19" s="24">
        <v>52.767635282750163</v>
      </c>
      <c r="P19" s="25">
        <v>17.464070364856735</v>
      </c>
      <c r="Q19" s="24">
        <v>13.682687877645328</v>
      </c>
      <c r="R19" s="23">
        <v>2.0998613855545836</v>
      </c>
      <c r="S19" s="38" t="s">
        <v>352</v>
      </c>
      <c r="T19" s="39">
        <v>0.39930555555555558</v>
      </c>
      <c r="U19" s="13">
        <f t="shared" si="4"/>
        <v>3</v>
      </c>
    </row>
    <row r="20" spans="1:21" x14ac:dyDescent="0.35">
      <c r="A20" t="str">
        <f t="shared" si="0"/>
        <v>ESTUDIO SEGUIMIENTO DESEMPEÑO AMBIENTAL ACUICULTURA EN CHILE Y SU EFECTO EN LOS ECOSISTEMAS DE EMPLAZAMIENTO 2023-2024</v>
      </c>
      <c r="B20" t="str">
        <f t="shared" si="1"/>
        <v>Objetivo 1. Actividad 2. Muestreos y Analisis sedimentos</v>
      </c>
      <c r="C20" t="str">
        <f t="shared" si="2"/>
        <v>Gastón Vidal</v>
      </c>
      <c r="D20" t="str">
        <f t="shared" si="3"/>
        <v>INSTITUTO DE FOMENTO PESQUERO</v>
      </c>
      <c r="E20" s="14" t="s">
        <v>36</v>
      </c>
      <c r="F20" s="15" t="s">
        <v>37</v>
      </c>
      <c r="G20" s="16">
        <v>5</v>
      </c>
      <c r="H20" s="17" t="s">
        <v>44</v>
      </c>
      <c r="I20" s="17" t="s">
        <v>45</v>
      </c>
      <c r="J20" s="23">
        <v>6.9266666666666667</v>
      </c>
      <c r="K20" s="24">
        <v>1.5275252316519529E-2</v>
      </c>
      <c r="L20" s="25">
        <v>11.1</v>
      </c>
      <c r="M20" s="24">
        <v>0.17320508075688812</v>
      </c>
      <c r="N20" s="25">
        <v>266.53333333333336</v>
      </c>
      <c r="O20" s="24">
        <v>85.077866295137724</v>
      </c>
      <c r="P20" s="25">
        <v>56.783291773773364</v>
      </c>
      <c r="Q20" s="24">
        <v>55.027726295220546</v>
      </c>
      <c r="R20" s="23">
        <v>2.2713980874101409</v>
      </c>
      <c r="S20" s="38" t="s">
        <v>352</v>
      </c>
      <c r="T20" s="39">
        <v>0.4236111111111111</v>
      </c>
      <c r="U20" s="13">
        <f t="shared" si="4"/>
        <v>5</v>
      </c>
    </row>
    <row r="21" spans="1:21" x14ac:dyDescent="0.35">
      <c r="A21" t="str">
        <f t="shared" si="0"/>
        <v>ESTUDIO SEGUIMIENTO DESEMPEÑO AMBIENTAL ACUICULTURA EN CHILE Y SU EFECTO EN LOS ECOSISTEMAS DE EMPLAZAMIENTO 2023-2024</v>
      </c>
      <c r="B21" t="str">
        <f t="shared" si="1"/>
        <v>Objetivo 1. Actividad 2. Muestreos y Analisis sedimentos</v>
      </c>
      <c r="C21" t="str">
        <f t="shared" si="2"/>
        <v>Gastón Vidal</v>
      </c>
      <c r="D21" t="str">
        <f t="shared" si="3"/>
        <v>INSTITUTO DE FOMENTO PESQUERO</v>
      </c>
      <c r="E21" s="14" t="s">
        <v>36</v>
      </c>
      <c r="F21" s="15" t="s">
        <v>37</v>
      </c>
      <c r="G21" s="16">
        <v>6</v>
      </c>
      <c r="H21" s="17" t="s">
        <v>46</v>
      </c>
      <c r="I21" s="17" t="s">
        <v>47</v>
      </c>
      <c r="J21" s="23">
        <v>7.3166666666666664</v>
      </c>
      <c r="K21" s="24">
        <v>4.725815626252608E-2</v>
      </c>
      <c r="L21" s="25">
        <v>11.5</v>
      </c>
      <c r="M21" s="24">
        <v>0.26457513110645914</v>
      </c>
      <c r="N21" s="25">
        <v>167.13333333333333</v>
      </c>
      <c r="O21" s="24">
        <v>22.136470661181409</v>
      </c>
      <c r="P21" s="25">
        <v>23.691976698574507</v>
      </c>
      <c r="Q21" s="24">
        <v>11.07726414225837</v>
      </c>
      <c r="R21" s="23">
        <v>4.9481995154147924</v>
      </c>
      <c r="S21" s="38" t="s">
        <v>353</v>
      </c>
      <c r="T21" s="39">
        <v>0.65277777777777779</v>
      </c>
      <c r="U21" s="13">
        <f t="shared" si="4"/>
        <v>6</v>
      </c>
    </row>
    <row r="22" spans="1:21" x14ac:dyDescent="0.35">
      <c r="A22" t="str">
        <f t="shared" si="0"/>
        <v>ESTUDIO SEGUIMIENTO DESEMPEÑO AMBIENTAL ACUICULTURA EN CHILE Y SU EFECTO EN LOS ECOSISTEMAS DE EMPLAZAMIENTO 2023-2024</v>
      </c>
      <c r="B22" t="str">
        <f t="shared" si="1"/>
        <v>Objetivo 1. Actividad 2. Muestreos y Analisis sedimentos</v>
      </c>
      <c r="C22" t="str">
        <f t="shared" si="2"/>
        <v>Gastón Vidal</v>
      </c>
      <c r="D22" t="str">
        <f t="shared" si="3"/>
        <v>INSTITUTO DE FOMENTO PESQUERO</v>
      </c>
      <c r="E22" s="14" t="s">
        <v>36</v>
      </c>
      <c r="F22" s="15" t="s">
        <v>37</v>
      </c>
      <c r="G22" s="16">
        <v>7</v>
      </c>
      <c r="H22" s="17" t="s">
        <v>48</v>
      </c>
      <c r="I22" s="17" t="s">
        <v>49</v>
      </c>
      <c r="J22" s="23">
        <v>7.3166666666666664</v>
      </c>
      <c r="K22" s="24">
        <v>6.0277137733417148E-2</v>
      </c>
      <c r="L22" s="25">
        <v>11.1</v>
      </c>
      <c r="M22" s="24">
        <v>0.17320508075688812</v>
      </c>
      <c r="N22" s="25">
        <v>167.4</v>
      </c>
      <c r="O22" s="24">
        <v>53.356255490804443</v>
      </c>
      <c r="P22" s="25">
        <v>7.4164485360690611</v>
      </c>
      <c r="Q22" s="24">
        <v>9.1736500612125358</v>
      </c>
      <c r="R22" s="23">
        <v>3.2965429170847056</v>
      </c>
      <c r="S22" s="38" t="s">
        <v>352</v>
      </c>
      <c r="T22" s="39">
        <v>0.46180555555555558</v>
      </c>
      <c r="U22" s="13">
        <f t="shared" si="4"/>
        <v>7</v>
      </c>
    </row>
    <row r="23" spans="1:21" x14ac:dyDescent="0.35">
      <c r="A23" t="str">
        <f t="shared" si="0"/>
        <v>ESTUDIO SEGUIMIENTO DESEMPEÑO AMBIENTAL ACUICULTURA EN CHILE Y SU EFECTO EN LOS ECOSISTEMAS DE EMPLAZAMIENTO 2023-2024</v>
      </c>
      <c r="B23" t="str">
        <f t="shared" si="1"/>
        <v>Objetivo 1. Actividad 2. Muestreos y Analisis sedimentos</v>
      </c>
      <c r="C23" t="str">
        <f t="shared" si="2"/>
        <v>Gastón Vidal</v>
      </c>
      <c r="D23" t="str">
        <f t="shared" si="3"/>
        <v>INSTITUTO DE FOMENTO PESQUERO</v>
      </c>
      <c r="E23" s="14" t="s">
        <v>36</v>
      </c>
      <c r="F23" s="15" t="s">
        <v>37</v>
      </c>
      <c r="G23" s="16">
        <v>8</v>
      </c>
      <c r="H23" s="17" t="s">
        <v>50</v>
      </c>
      <c r="I23" s="17" t="s">
        <v>51</v>
      </c>
      <c r="J23" s="23">
        <v>7.0566666666666675</v>
      </c>
      <c r="K23" s="24">
        <v>0.19553345834749938</v>
      </c>
      <c r="L23" s="25">
        <v>11.5</v>
      </c>
      <c r="M23" s="24">
        <v>0.17320508075688709</v>
      </c>
      <c r="N23" s="25">
        <v>141.5</v>
      </c>
      <c r="O23" s="24">
        <v>53.926709523203776</v>
      </c>
      <c r="P23" s="25">
        <v>11.218999066644159</v>
      </c>
      <c r="Q23" s="24">
        <v>9.6818115648211602</v>
      </c>
      <c r="R23" s="23">
        <v>5.5139765554553284</v>
      </c>
      <c r="S23" s="38" t="s">
        <v>353</v>
      </c>
      <c r="T23" s="39">
        <v>0.6333333333333333</v>
      </c>
      <c r="U23" s="13">
        <f t="shared" si="4"/>
        <v>8</v>
      </c>
    </row>
    <row r="24" spans="1:21" x14ac:dyDescent="0.35">
      <c r="A24" t="str">
        <f t="shared" si="0"/>
        <v>ESTUDIO SEGUIMIENTO DESEMPEÑO AMBIENTAL ACUICULTURA EN CHILE Y SU EFECTO EN LOS ECOSISTEMAS DE EMPLAZAMIENTO 2023-2024</v>
      </c>
      <c r="B24" t="str">
        <f t="shared" si="1"/>
        <v>Objetivo 1. Actividad 2. Muestreos y Analisis sedimentos</v>
      </c>
      <c r="C24" t="str">
        <f t="shared" si="2"/>
        <v>Gastón Vidal</v>
      </c>
      <c r="D24" t="str">
        <f t="shared" si="3"/>
        <v>INSTITUTO DE FOMENTO PESQUERO</v>
      </c>
      <c r="E24" s="14" t="s">
        <v>36</v>
      </c>
      <c r="F24" s="15" t="s">
        <v>37</v>
      </c>
      <c r="G24" s="16">
        <v>12</v>
      </c>
      <c r="H24" s="17" t="s">
        <v>52</v>
      </c>
      <c r="I24" s="17" t="s">
        <v>53</v>
      </c>
      <c r="J24" s="23">
        <v>7.169999999999999</v>
      </c>
      <c r="K24" s="24">
        <v>0.12529964086141668</v>
      </c>
      <c r="L24" s="25">
        <v>11.5</v>
      </c>
      <c r="M24" s="24">
        <v>0.17320508075688709</v>
      </c>
      <c r="N24" s="25">
        <v>118.23333333333335</v>
      </c>
      <c r="O24" s="24">
        <v>18.618360113966165</v>
      </c>
      <c r="P24" s="25">
        <v>2.8462605431365922</v>
      </c>
      <c r="Q24" s="24">
        <v>4.5611864345988895</v>
      </c>
      <c r="R24" s="23">
        <v>3.1677133357961158</v>
      </c>
      <c r="S24" s="38">
        <v>45087</v>
      </c>
      <c r="T24" s="39">
        <v>0.60416666666666663</v>
      </c>
      <c r="U24" s="13">
        <f t="shared" si="4"/>
        <v>12</v>
      </c>
    </row>
    <row r="25" spans="1:21" x14ac:dyDescent="0.35">
      <c r="A25" t="str">
        <f t="shared" si="0"/>
        <v>ESTUDIO SEGUIMIENTO DESEMPEÑO AMBIENTAL ACUICULTURA EN CHILE Y SU EFECTO EN LOS ECOSISTEMAS DE EMPLAZAMIENTO 2023-2024</v>
      </c>
      <c r="B25" t="str">
        <f t="shared" si="1"/>
        <v>Objetivo 1. Actividad 2. Muestreos y Analisis sedimentos</v>
      </c>
      <c r="C25" t="str">
        <f t="shared" si="2"/>
        <v>Gastón Vidal</v>
      </c>
      <c r="D25" t="str">
        <f t="shared" si="3"/>
        <v>INSTITUTO DE FOMENTO PESQUERO</v>
      </c>
      <c r="E25" s="14" t="s">
        <v>36</v>
      </c>
      <c r="F25" s="15" t="s">
        <v>37</v>
      </c>
      <c r="G25" s="16">
        <v>17</v>
      </c>
      <c r="H25" s="17" t="s">
        <v>54</v>
      </c>
      <c r="I25" s="17" t="s">
        <v>55</v>
      </c>
      <c r="J25" s="23">
        <v>7.3733333333333322</v>
      </c>
      <c r="K25" s="24">
        <v>5.8594652770823416E-2</v>
      </c>
      <c r="L25" s="25">
        <v>11.766666666666666</v>
      </c>
      <c r="M25" s="24">
        <v>0.28867513459481292</v>
      </c>
      <c r="N25" s="25">
        <v>449.33333333333331</v>
      </c>
      <c r="O25" s="24">
        <v>37.908618193404699</v>
      </c>
      <c r="P25" s="25">
        <v>1.2633745994227215E-6</v>
      </c>
      <c r="Q25" s="24">
        <v>1.5249188282398618E-6</v>
      </c>
      <c r="R25" s="23">
        <v>1.0199234358845441</v>
      </c>
      <c r="S25" s="38" t="s">
        <v>353</v>
      </c>
      <c r="T25" s="39">
        <v>0.5625</v>
      </c>
      <c r="U25" s="13">
        <f t="shared" si="4"/>
        <v>17</v>
      </c>
    </row>
    <row r="26" spans="1:21" x14ac:dyDescent="0.35">
      <c r="A26" t="str">
        <f t="shared" si="0"/>
        <v>ESTUDIO SEGUIMIENTO DESEMPEÑO AMBIENTAL ACUICULTURA EN CHILE Y SU EFECTO EN LOS ECOSISTEMAS DE EMPLAZAMIENTO 2023-2024</v>
      </c>
      <c r="B26" t="str">
        <f t="shared" si="1"/>
        <v>Objetivo 1. Actividad 2. Muestreos y Analisis sedimentos</v>
      </c>
      <c r="C26" t="str">
        <f t="shared" si="2"/>
        <v>Gastón Vidal</v>
      </c>
      <c r="D26" t="str">
        <f t="shared" si="3"/>
        <v>INSTITUTO DE FOMENTO PESQUERO</v>
      </c>
      <c r="E26" s="14" t="s">
        <v>36</v>
      </c>
      <c r="F26" s="15" t="s">
        <v>37</v>
      </c>
      <c r="G26" s="16">
        <v>21</v>
      </c>
      <c r="H26" s="17" t="s">
        <v>56</v>
      </c>
      <c r="I26" s="17" t="s">
        <v>57</v>
      </c>
      <c r="J26" s="23">
        <v>7.1733333333333329</v>
      </c>
      <c r="K26" s="24">
        <v>9.8657657246325178E-2</v>
      </c>
      <c r="L26" s="25">
        <v>11.700000000000001</v>
      </c>
      <c r="M26" s="24">
        <v>0.43588989435406683</v>
      </c>
      <c r="N26" s="25">
        <v>287.16666666666669</v>
      </c>
      <c r="O26" s="24">
        <v>49.695506168398424</v>
      </c>
      <c r="P26" s="25">
        <v>82.100461427348066</v>
      </c>
      <c r="Q26" s="24">
        <v>55.937737334093725</v>
      </c>
      <c r="R26" s="23">
        <v>2.2963631834599703</v>
      </c>
      <c r="S26" s="38" t="s">
        <v>353</v>
      </c>
      <c r="T26" s="39">
        <v>0.53472222222222221</v>
      </c>
      <c r="U26" s="13">
        <f t="shared" si="4"/>
        <v>21</v>
      </c>
    </row>
    <row r="27" spans="1:21" x14ac:dyDescent="0.35">
      <c r="A27" t="str">
        <f t="shared" si="0"/>
        <v>ESTUDIO SEGUIMIENTO DESEMPEÑO AMBIENTAL ACUICULTURA EN CHILE Y SU EFECTO EN LOS ECOSISTEMAS DE EMPLAZAMIENTO 2023-2024</v>
      </c>
      <c r="B27" t="str">
        <f t="shared" si="1"/>
        <v>Objetivo 1. Actividad 2. Muestreos y Analisis sedimentos</v>
      </c>
      <c r="C27" t="str">
        <f t="shared" si="2"/>
        <v>Gastón Vidal</v>
      </c>
      <c r="D27" t="str">
        <f t="shared" si="3"/>
        <v>INSTITUTO DE FOMENTO PESQUERO</v>
      </c>
      <c r="E27" s="14" t="s">
        <v>36</v>
      </c>
      <c r="F27" s="15" t="s">
        <v>58</v>
      </c>
      <c r="G27" s="16">
        <v>3</v>
      </c>
      <c r="H27" s="18" t="s">
        <v>59</v>
      </c>
      <c r="I27" s="18" t="s">
        <v>60</v>
      </c>
      <c r="J27" s="23">
        <v>7.4733333333333336</v>
      </c>
      <c r="K27" s="26">
        <v>4.0414518843273899E-2</v>
      </c>
      <c r="L27" s="23">
        <v>13.266666666666666</v>
      </c>
      <c r="M27" s="26">
        <v>0.20816659994661355</v>
      </c>
      <c r="N27" s="23">
        <v>334.23333333333335</v>
      </c>
      <c r="O27" s="26">
        <v>21.727708883665901</v>
      </c>
      <c r="P27" s="25">
        <v>1.6666666666666666E-2</v>
      </c>
      <c r="Q27" s="26">
        <v>2.8867513459481291E-2</v>
      </c>
      <c r="R27" s="23">
        <v>1.0203157935573628</v>
      </c>
      <c r="S27" s="40" t="s">
        <v>354</v>
      </c>
      <c r="T27" s="41">
        <v>0.51388888888888895</v>
      </c>
      <c r="U27" s="13">
        <f t="shared" si="4"/>
        <v>3</v>
      </c>
    </row>
    <row r="28" spans="1:21" x14ac:dyDescent="0.35">
      <c r="A28" t="str">
        <f t="shared" si="0"/>
        <v>ESTUDIO SEGUIMIENTO DESEMPEÑO AMBIENTAL ACUICULTURA EN CHILE Y SU EFECTO EN LOS ECOSISTEMAS DE EMPLAZAMIENTO 2023-2024</v>
      </c>
      <c r="B28" t="str">
        <f t="shared" si="1"/>
        <v>Objetivo 1. Actividad 2. Muestreos y Analisis sedimentos</v>
      </c>
      <c r="C28" t="str">
        <f t="shared" si="2"/>
        <v>Gastón Vidal</v>
      </c>
      <c r="D28" t="str">
        <f t="shared" si="3"/>
        <v>INSTITUTO DE FOMENTO PESQUERO</v>
      </c>
      <c r="E28" s="14" t="s">
        <v>36</v>
      </c>
      <c r="F28" s="15" t="s">
        <v>58</v>
      </c>
      <c r="G28" s="16">
        <v>4</v>
      </c>
      <c r="H28" s="18" t="s">
        <v>61</v>
      </c>
      <c r="I28" s="18" t="s">
        <v>62</v>
      </c>
      <c r="J28" s="23">
        <v>7.496666666666667</v>
      </c>
      <c r="K28" s="26">
        <v>4.0414518843273822E-2</v>
      </c>
      <c r="L28" s="23">
        <v>13.066666666666668</v>
      </c>
      <c r="M28" s="26">
        <v>5.7735026918962373E-2</v>
      </c>
      <c r="N28" s="25">
        <v>259.43333333333334</v>
      </c>
      <c r="O28" s="26">
        <v>12.742187148732887</v>
      </c>
      <c r="P28" s="25">
        <v>7.9200000000000008</v>
      </c>
      <c r="Q28" s="24">
        <v>7.1850052192047835</v>
      </c>
      <c r="R28" s="23">
        <v>1.8043658845478232</v>
      </c>
      <c r="S28" s="40" t="s">
        <v>354</v>
      </c>
      <c r="T28" s="41">
        <v>0.53472222222222221</v>
      </c>
      <c r="U28" s="13">
        <f t="shared" si="4"/>
        <v>4</v>
      </c>
    </row>
    <row r="29" spans="1:21" x14ac:dyDescent="0.35">
      <c r="A29" t="str">
        <f t="shared" si="0"/>
        <v>ESTUDIO SEGUIMIENTO DESEMPEÑO AMBIENTAL ACUICULTURA EN CHILE Y SU EFECTO EN LOS ECOSISTEMAS DE EMPLAZAMIENTO 2023-2024</v>
      </c>
      <c r="B29" t="str">
        <f t="shared" si="1"/>
        <v>Objetivo 1. Actividad 2. Muestreos y Analisis sedimentos</v>
      </c>
      <c r="C29" t="str">
        <f t="shared" si="2"/>
        <v>Gastón Vidal</v>
      </c>
      <c r="D29" t="str">
        <f t="shared" si="3"/>
        <v>INSTITUTO DE FOMENTO PESQUERO</v>
      </c>
      <c r="E29" s="14" t="s">
        <v>36</v>
      </c>
      <c r="F29" s="15" t="s">
        <v>58</v>
      </c>
      <c r="G29" s="16">
        <v>5</v>
      </c>
      <c r="H29" s="18" t="s">
        <v>63</v>
      </c>
      <c r="I29" s="18" t="s">
        <v>64</v>
      </c>
      <c r="J29" s="23">
        <v>7.2299999999999995</v>
      </c>
      <c r="K29" s="26">
        <v>6.0000000000000053E-2</v>
      </c>
      <c r="L29" s="23">
        <v>13.266666666666667</v>
      </c>
      <c r="M29" s="26">
        <v>0.15275252316519508</v>
      </c>
      <c r="N29" s="25">
        <v>302.09999999999997</v>
      </c>
      <c r="O29" s="26">
        <v>36.726557148744547</v>
      </c>
      <c r="P29" s="25">
        <v>0</v>
      </c>
      <c r="Q29" s="24">
        <v>0</v>
      </c>
      <c r="R29" s="23">
        <v>0.9811525634064634</v>
      </c>
      <c r="S29" s="40" t="s">
        <v>354</v>
      </c>
      <c r="T29" s="41">
        <v>0.46527777777777773</v>
      </c>
      <c r="U29" s="13">
        <f t="shared" si="4"/>
        <v>5</v>
      </c>
    </row>
    <row r="30" spans="1:21" x14ac:dyDescent="0.35">
      <c r="A30" t="str">
        <f t="shared" si="0"/>
        <v>ESTUDIO SEGUIMIENTO DESEMPEÑO AMBIENTAL ACUICULTURA EN CHILE Y SU EFECTO EN LOS ECOSISTEMAS DE EMPLAZAMIENTO 2023-2024</v>
      </c>
      <c r="B30" t="str">
        <f t="shared" si="1"/>
        <v>Objetivo 1. Actividad 2. Muestreos y Analisis sedimentos</v>
      </c>
      <c r="C30" t="str">
        <f t="shared" si="2"/>
        <v>Gastón Vidal</v>
      </c>
      <c r="D30" t="str">
        <f t="shared" si="3"/>
        <v>INSTITUTO DE FOMENTO PESQUERO</v>
      </c>
      <c r="E30" s="14" t="s">
        <v>36</v>
      </c>
      <c r="F30" s="15" t="s">
        <v>58</v>
      </c>
      <c r="G30" s="16">
        <v>7</v>
      </c>
      <c r="H30" s="18" t="s">
        <v>65</v>
      </c>
      <c r="I30" s="18" t="s">
        <v>66</v>
      </c>
      <c r="J30" s="23">
        <v>7.66</v>
      </c>
      <c r="K30" s="26">
        <v>0.13076696830622028</v>
      </c>
      <c r="L30" s="23">
        <v>14.466666666666667</v>
      </c>
      <c r="M30" s="26">
        <v>0.25166114784235838</v>
      </c>
      <c r="N30" s="25">
        <v>206.39999999999998</v>
      </c>
      <c r="O30" s="26">
        <v>16.432893841317181</v>
      </c>
      <c r="P30" s="25">
        <v>134.08666666666667</v>
      </c>
      <c r="Q30" s="24">
        <v>24.253299431898611</v>
      </c>
      <c r="R30" s="23">
        <v>1.2237424080258814</v>
      </c>
      <c r="S30" s="40" t="s">
        <v>355</v>
      </c>
      <c r="T30" s="41">
        <v>0.68194444444444446</v>
      </c>
      <c r="U30" s="13">
        <f t="shared" si="4"/>
        <v>7</v>
      </c>
    </row>
    <row r="31" spans="1:21" x14ac:dyDescent="0.35">
      <c r="A31" t="str">
        <f t="shared" si="0"/>
        <v>ESTUDIO SEGUIMIENTO DESEMPEÑO AMBIENTAL ACUICULTURA EN CHILE Y SU EFECTO EN LOS ECOSISTEMAS DE EMPLAZAMIENTO 2023-2024</v>
      </c>
      <c r="B31" t="str">
        <f t="shared" si="1"/>
        <v>Objetivo 1. Actividad 2. Muestreos y Analisis sedimentos</v>
      </c>
      <c r="C31" t="str">
        <f t="shared" si="2"/>
        <v>Gastón Vidal</v>
      </c>
      <c r="D31" t="str">
        <f t="shared" si="3"/>
        <v>INSTITUTO DE FOMENTO PESQUERO</v>
      </c>
      <c r="E31" s="14" t="s">
        <v>36</v>
      </c>
      <c r="F31" s="15" t="s">
        <v>58</v>
      </c>
      <c r="G31" s="16">
        <v>13</v>
      </c>
      <c r="H31" s="18" t="s">
        <v>67</v>
      </c>
      <c r="I31" s="18" t="s">
        <v>68</v>
      </c>
      <c r="J31" s="23">
        <v>7.5733333333333333</v>
      </c>
      <c r="K31" s="26">
        <v>0.13650396819628827</v>
      </c>
      <c r="L31" s="23">
        <v>16.666666666666668</v>
      </c>
      <c r="M31" s="26">
        <v>0.40414518843273839</v>
      </c>
      <c r="N31" s="25">
        <v>392.16666666666669</v>
      </c>
      <c r="O31" s="26">
        <v>28.959511966421918</v>
      </c>
      <c r="P31" s="25">
        <v>7.6666666666666675E-2</v>
      </c>
      <c r="Q31" s="24">
        <v>0.12423096769056149</v>
      </c>
      <c r="R31" s="23">
        <v>0.86753781922680762</v>
      </c>
      <c r="S31" s="40">
        <v>45029</v>
      </c>
      <c r="T31" s="41">
        <v>0.59027777777777779</v>
      </c>
      <c r="U31" s="13">
        <f t="shared" si="4"/>
        <v>13</v>
      </c>
    </row>
    <row r="32" spans="1:21" x14ac:dyDescent="0.35">
      <c r="A32" t="str">
        <f t="shared" si="0"/>
        <v>ESTUDIO SEGUIMIENTO DESEMPEÑO AMBIENTAL ACUICULTURA EN CHILE Y SU EFECTO EN LOS ECOSISTEMAS DE EMPLAZAMIENTO 2023-2024</v>
      </c>
      <c r="B32" t="str">
        <f t="shared" si="1"/>
        <v>Objetivo 1. Actividad 2. Muestreos y Analisis sedimentos</v>
      </c>
      <c r="C32" t="str">
        <f t="shared" si="2"/>
        <v>Gastón Vidal</v>
      </c>
      <c r="D32" t="str">
        <f t="shared" si="3"/>
        <v>INSTITUTO DE FOMENTO PESQUERO</v>
      </c>
      <c r="E32" s="14" t="s">
        <v>36</v>
      </c>
      <c r="F32" s="15" t="s">
        <v>58</v>
      </c>
      <c r="G32" s="16">
        <v>15</v>
      </c>
      <c r="H32" s="18" t="s">
        <v>69</v>
      </c>
      <c r="I32" s="18" t="s">
        <v>70</v>
      </c>
      <c r="J32" s="23">
        <v>7.3866666666666667</v>
      </c>
      <c r="K32" s="26">
        <v>2.5166114784235707E-2</v>
      </c>
      <c r="L32" s="23">
        <v>11.266666666666666</v>
      </c>
      <c r="M32" s="26">
        <v>0.15275252316519511</v>
      </c>
      <c r="N32" s="25">
        <v>310.33333333333331</v>
      </c>
      <c r="O32" s="26">
        <v>135.3558396720783</v>
      </c>
      <c r="P32" s="25">
        <v>56.833333333333336</v>
      </c>
      <c r="Q32" s="24">
        <v>95.413823596653614</v>
      </c>
      <c r="R32" s="23">
        <v>1.3787458273114586</v>
      </c>
      <c r="S32" s="40" t="s">
        <v>353</v>
      </c>
      <c r="T32" s="41">
        <v>0.37638888888888888</v>
      </c>
      <c r="U32" s="13">
        <f t="shared" si="4"/>
        <v>15</v>
      </c>
    </row>
    <row r="33" spans="1:21" x14ac:dyDescent="0.35">
      <c r="A33" t="str">
        <f t="shared" si="0"/>
        <v>ESTUDIO SEGUIMIENTO DESEMPEÑO AMBIENTAL ACUICULTURA EN CHILE Y SU EFECTO EN LOS ECOSISTEMAS DE EMPLAZAMIENTO 2023-2024</v>
      </c>
      <c r="B33" t="str">
        <f t="shared" si="1"/>
        <v>Objetivo 1. Actividad 2. Muestreos y Analisis sedimentos</v>
      </c>
      <c r="C33" t="str">
        <f t="shared" si="2"/>
        <v>Gastón Vidal</v>
      </c>
      <c r="D33" t="str">
        <f t="shared" si="3"/>
        <v>INSTITUTO DE FOMENTO PESQUERO</v>
      </c>
      <c r="E33" s="14" t="s">
        <v>36</v>
      </c>
      <c r="F33" s="15" t="s">
        <v>58</v>
      </c>
      <c r="G33" s="16">
        <v>17</v>
      </c>
      <c r="H33" s="18" t="s">
        <v>71</v>
      </c>
      <c r="I33" s="18" t="s">
        <v>72</v>
      </c>
      <c r="J33" s="23">
        <v>7.0966666666666667</v>
      </c>
      <c r="K33" s="26">
        <v>3.7859388972001529E-2</v>
      </c>
      <c r="L33" s="23">
        <v>11.466666666666667</v>
      </c>
      <c r="M33" s="26">
        <v>0.20816659994661255</v>
      </c>
      <c r="N33" s="25">
        <v>373.66666666666669</v>
      </c>
      <c r="O33" s="26">
        <v>17.400095785176969</v>
      </c>
      <c r="P33" s="25">
        <v>27.8</v>
      </c>
      <c r="Q33" s="24">
        <v>5.2134729307822978</v>
      </c>
      <c r="R33" s="23">
        <v>1.1403383307111401</v>
      </c>
      <c r="S33" s="40" t="s">
        <v>353</v>
      </c>
      <c r="T33" s="41">
        <v>0.42708333333333331</v>
      </c>
      <c r="U33" s="13">
        <f t="shared" si="4"/>
        <v>17</v>
      </c>
    </row>
    <row r="34" spans="1:21" x14ac:dyDescent="0.35">
      <c r="A34" t="str">
        <f t="shared" si="0"/>
        <v>ESTUDIO SEGUIMIENTO DESEMPEÑO AMBIENTAL ACUICULTURA EN CHILE Y SU EFECTO EN LOS ECOSISTEMAS DE EMPLAZAMIENTO 2023-2024</v>
      </c>
      <c r="B34" t="str">
        <f t="shared" si="1"/>
        <v>Objetivo 1. Actividad 2. Muestreos y Analisis sedimentos</v>
      </c>
      <c r="C34" t="str">
        <f t="shared" si="2"/>
        <v>Gastón Vidal</v>
      </c>
      <c r="D34" t="str">
        <f t="shared" si="3"/>
        <v>INSTITUTO DE FOMENTO PESQUERO</v>
      </c>
      <c r="E34" s="14" t="s">
        <v>36</v>
      </c>
      <c r="F34" s="15" t="s">
        <v>58</v>
      </c>
      <c r="G34" s="16">
        <v>19</v>
      </c>
      <c r="H34" s="18" t="s">
        <v>73</v>
      </c>
      <c r="I34" s="18" t="s">
        <v>74</v>
      </c>
      <c r="J34" s="23">
        <v>7.13</v>
      </c>
      <c r="K34" s="26">
        <v>5.567764362830039E-2</v>
      </c>
      <c r="L34" s="23">
        <v>11.266666666666666</v>
      </c>
      <c r="M34" s="26">
        <v>0.15275252316519508</v>
      </c>
      <c r="N34" s="25">
        <v>291.03333333333336</v>
      </c>
      <c r="O34" s="26">
        <v>40.66943979615808</v>
      </c>
      <c r="P34" s="25">
        <v>35.856666666666662</v>
      </c>
      <c r="Q34" s="24">
        <v>38.456834676469839</v>
      </c>
      <c r="R34" s="23">
        <v>2.2097770492798756</v>
      </c>
      <c r="S34" s="40" t="s">
        <v>353</v>
      </c>
      <c r="T34" s="41">
        <v>0.4513888888888889</v>
      </c>
      <c r="U34" s="13">
        <f t="shared" si="4"/>
        <v>19</v>
      </c>
    </row>
    <row r="35" spans="1:21" x14ac:dyDescent="0.35">
      <c r="A35" t="str">
        <f t="shared" si="0"/>
        <v>ESTUDIO SEGUIMIENTO DESEMPEÑO AMBIENTAL ACUICULTURA EN CHILE Y SU EFECTO EN LOS ECOSISTEMAS DE EMPLAZAMIENTO 2023-2024</v>
      </c>
      <c r="B35" t="str">
        <f t="shared" si="1"/>
        <v>Objetivo 1. Actividad 2. Muestreos y Analisis sedimentos</v>
      </c>
      <c r="C35" t="str">
        <f t="shared" si="2"/>
        <v>Gastón Vidal</v>
      </c>
      <c r="D35" t="str">
        <f t="shared" si="3"/>
        <v>INSTITUTO DE FOMENTO PESQUERO</v>
      </c>
      <c r="E35" s="14" t="s">
        <v>36</v>
      </c>
      <c r="F35" s="15" t="s">
        <v>58</v>
      </c>
      <c r="G35" s="16">
        <v>21</v>
      </c>
      <c r="H35" s="18" t="s">
        <v>75</v>
      </c>
      <c r="I35" s="18" t="s">
        <v>76</v>
      </c>
      <c r="J35" s="23">
        <v>7.0366666666666662</v>
      </c>
      <c r="K35" s="26">
        <v>8.6216781042517079E-2</v>
      </c>
      <c r="L35" s="23">
        <v>12.1</v>
      </c>
      <c r="M35" s="26">
        <v>0.29999999999999982</v>
      </c>
      <c r="N35" s="25">
        <v>353.23333333333335</v>
      </c>
      <c r="O35" s="26">
        <v>17.382845950342354</v>
      </c>
      <c r="P35" s="25">
        <v>6.166666666666667</v>
      </c>
      <c r="Q35" s="24">
        <v>6.8501776132691132</v>
      </c>
      <c r="R35" s="23">
        <v>1.393167936868247</v>
      </c>
      <c r="S35" s="40" t="s">
        <v>353</v>
      </c>
      <c r="T35" s="41">
        <v>0.47916666666666669</v>
      </c>
      <c r="U35" s="13">
        <f t="shared" si="4"/>
        <v>21</v>
      </c>
    </row>
    <row r="36" spans="1:21" x14ac:dyDescent="0.35">
      <c r="A36" t="str">
        <f t="shared" si="0"/>
        <v>ESTUDIO SEGUIMIENTO DESEMPEÑO AMBIENTAL ACUICULTURA EN CHILE Y SU EFECTO EN LOS ECOSISTEMAS DE EMPLAZAMIENTO 2023-2024</v>
      </c>
      <c r="B36" t="str">
        <f t="shared" si="1"/>
        <v>Objetivo 1. Actividad 2. Muestreos y Analisis sedimentos</v>
      </c>
      <c r="C36" t="str">
        <f t="shared" si="2"/>
        <v>Gastón Vidal</v>
      </c>
      <c r="D36" t="str">
        <f t="shared" si="3"/>
        <v>INSTITUTO DE FOMENTO PESQUERO</v>
      </c>
      <c r="E36" s="14" t="s">
        <v>36</v>
      </c>
      <c r="F36" s="19" t="s">
        <v>58</v>
      </c>
      <c r="G36" s="20">
        <v>25</v>
      </c>
      <c r="H36" s="21" t="s">
        <v>77</v>
      </c>
      <c r="I36" s="21" t="s">
        <v>78</v>
      </c>
      <c r="J36" s="27">
        <v>7.2066666666666661</v>
      </c>
      <c r="K36" s="28">
        <v>4.1633319989322619E-2</v>
      </c>
      <c r="L36" s="27">
        <v>13.066666666666668</v>
      </c>
      <c r="M36" s="28">
        <v>0.40414518843273833</v>
      </c>
      <c r="N36" s="29">
        <v>271.76666666666671</v>
      </c>
      <c r="O36" s="28">
        <v>7.7732447107583882</v>
      </c>
      <c r="P36" s="29">
        <v>5.8933333333333335</v>
      </c>
      <c r="Q36" s="30">
        <v>5.1064305863619976</v>
      </c>
      <c r="R36" s="27">
        <v>1.3062747842313915</v>
      </c>
      <c r="S36" s="42" t="s">
        <v>354</v>
      </c>
      <c r="T36" s="43">
        <v>0.62847222222222221</v>
      </c>
      <c r="U36" s="13">
        <f t="shared" si="4"/>
        <v>25</v>
      </c>
    </row>
    <row r="37" spans="1:21" x14ac:dyDescent="0.35">
      <c r="A37" t="str">
        <f t="shared" si="0"/>
        <v>ESTUDIO SEGUIMIENTO DESEMPEÑO AMBIENTAL ACUICULTURA EN CHILE Y SU EFECTO EN LOS ECOSISTEMAS DE EMPLAZAMIENTO 2023-2024</v>
      </c>
      <c r="B37" t="str">
        <f t="shared" si="1"/>
        <v>Objetivo 1. Actividad 2. Muestreos y Analisis sedimentos</v>
      </c>
      <c r="C37" t="str">
        <f t="shared" si="2"/>
        <v>Gastón Vidal</v>
      </c>
      <c r="D37" t="str">
        <f t="shared" si="3"/>
        <v>INSTITUTO DE FOMENTO PESQUERO</v>
      </c>
      <c r="E37" s="14" t="s">
        <v>36</v>
      </c>
      <c r="F37" s="15" t="s">
        <v>79</v>
      </c>
      <c r="G37" s="16">
        <v>1</v>
      </c>
      <c r="H37" s="18" t="s">
        <v>80</v>
      </c>
      <c r="I37" s="18" t="s">
        <v>81</v>
      </c>
      <c r="J37" s="31">
        <v>7.3666666666666663</v>
      </c>
      <c r="K37" s="26">
        <v>5.1316014394469103E-2</v>
      </c>
      <c r="L37" s="23">
        <v>12.633333333333333</v>
      </c>
      <c r="M37" s="26">
        <v>0.25166114784235838</v>
      </c>
      <c r="N37" s="32">
        <v>362.13333333333338</v>
      </c>
      <c r="O37" s="33">
        <v>35.951402383402687</v>
      </c>
      <c r="P37" s="23">
        <v>49.706666666666671</v>
      </c>
      <c r="Q37" s="26">
        <v>25.692086978938349</v>
      </c>
      <c r="R37" s="31">
        <v>3.4847045411362143</v>
      </c>
      <c r="S37" s="40" t="s">
        <v>356</v>
      </c>
      <c r="T37" s="41">
        <v>0.4236111111111111</v>
      </c>
      <c r="U37" s="13">
        <f t="shared" si="4"/>
        <v>1</v>
      </c>
    </row>
    <row r="38" spans="1:21" x14ac:dyDescent="0.35">
      <c r="A38" t="str">
        <f t="shared" si="0"/>
        <v>ESTUDIO SEGUIMIENTO DESEMPEÑO AMBIENTAL ACUICULTURA EN CHILE Y SU EFECTO EN LOS ECOSISTEMAS DE EMPLAZAMIENTO 2023-2024</v>
      </c>
      <c r="B38" t="str">
        <f t="shared" si="1"/>
        <v>Objetivo 1. Actividad 2. Muestreos y Analisis sedimentos</v>
      </c>
      <c r="C38" t="str">
        <f t="shared" si="2"/>
        <v>Gastón Vidal</v>
      </c>
      <c r="D38" t="str">
        <f t="shared" si="3"/>
        <v>INSTITUTO DE FOMENTO PESQUERO</v>
      </c>
      <c r="E38" s="14" t="s">
        <v>36</v>
      </c>
      <c r="F38" s="15" t="s">
        <v>79</v>
      </c>
      <c r="G38" s="16">
        <v>2</v>
      </c>
      <c r="H38" s="18" t="s">
        <v>82</v>
      </c>
      <c r="I38" s="18" t="s">
        <v>83</v>
      </c>
      <c r="J38" s="34">
        <v>7.0466666666666669</v>
      </c>
      <c r="K38" s="26">
        <v>9.712534856222288E-2</v>
      </c>
      <c r="L38" s="23">
        <v>13.1</v>
      </c>
      <c r="M38" s="26">
        <v>0.26457513110645914</v>
      </c>
      <c r="N38" s="32">
        <v>191.0333333333333</v>
      </c>
      <c r="O38" s="33">
        <v>49.057347393977167</v>
      </c>
      <c r="P38" s="23">
        <v>38.916666666666664</v>
      </c>
      <c r="Q38" s="26">
        <v>15.813963239281078</v>
      </c>
      <c r="R38" s="34">
        <v>1.2773696699299519</v>
      </c>
      <c r="S38" s="40" t="s">
        <v>356</v>
      </c>
      <c r="T38" s="41">
        <v>0.44791666666666669</v>
      </c>
      <c r="U38" s="13">
        <f t="shared" si="4"/>
        <v>2</v>
      </c>
    </row>
    <row r="39" spans="1:21" x14ac:dyDescent="0.35">
      <c r="A39" t="str">
        <f t="shared" si="0"/>
        <v>ESTUDIO SEGUIMIENTO DESEMPEÑO AMBIENTAL ACUICULTURA EN CHILE Y SU EFECTO EN LOS ECOSISTEMAS DE EMPLAZAMIENTO 2023-2024</v>
      </c>
      <c r="B39" t="str">
        <f t="shared" si="1"/>
        <v>Objetivo 1. Actividad 2. Muestreos y Analisis sedimentos</v>
      </c>
      <c r="C39" t="str">
        <f t="shared" si="2"/>
        <v>Gastón Vidal</v>
      </c>
      <c r="D39" t="str">
        <f t="shared" si="3"/>
        <v>INSTITUTO DE FOMENTO PESQUERO</v>
      </c>
      <c r="E39" s="14" t="s">
        <v>36</v>
      </c>
      <c r="F39" s="15" t="s">
        <v>79</v>
      </c>
      <c r="G39" s="16">
        <v>8</v>
      </c>
      <c r="H39" s="18" t="s">
        <v>84</v>
      </c>
      <c r="I39" s="18" t="s">
        <v>85</v>
      </c>
      <c r="J39" s="34">
        <v>7.07</v>
      </c>
      <c r="K39" s="26">
        <v>0.20420577856662156</v>
      </c>
      <c r="L39" s="23">
        <v>13.4</v>
      </c>
      <c r="M39" s="26">
        <v>0.17320508075688709</v>
      </c>
      <c r="N39" s="32">
        <v>205.33333333333334</v>
      </c>
      <c r="O39" s="33">
        <v>43.278439589862039</v>
      </c>
      <c r="P39" s="23">
        <v>54.620000000000005</v>
      </c>
      <c r="Q39" s="26">
        <v>15.20525895866294</v>
      </c>
      <c r="R39" s="34">
        <v>1.5354501957372533</v>
      </c>
      <c r="S39" s="40" t="s">
        <v>356</v>
      </c>
      <c r="T39" s="41">
        <v>0.375</v>
      </c>
      <c r="U39" s="13">
        <f t="shared" si="4"/>
        <v>8</v>
      </c>
    </row>
    <row r="40" spans="1:21" x14ac:dyDescent="0.35">
      <c r="A40" t="str">
        <f t="shared" si="0"/>
        <v>ESTUDIO SEGUIMIENTO DESEMPEÑO AMBIENTAL ACUICULTURA EN CHILE Y SU EFECTO EN LOS ECOSISTEMAS DE EMPLAZAMIENTO 2023-2024</v>
      </c>
      <c r="B40" t="str">
        <f t="shared" si="1"/>
        <v>Objetivo 1. Actividad 2. Muestreos y Analisis sedimentos</v>
      </c>
      <c r="C40" t="str">
        <f t="shared" si="2"/>
        <v>Gastón Vidal</v>
      </c>
      <c r="D40" t="str">
        <f t="shared" si="3"/>
        <v>INSTITUTO DE FOMENTO PESQUERO</v>
      </c>
      <c r="E40" s="14" t="s">
        <v>36</v>
      </c>
      <c r="F40" s="15" t="s">
        <v>79</v>
      </c>
      <c r="G40" s="16">
        <v>16</v>
      </c>
      <c r="H40" s="18" t="s">
        <v>86</v>
      </c>
      <c r="I40" s="18" t="s">
        <v>87</v>
      </c>
      <c r="J40" s="34">
        <v>7.4066666666666663</v>
      </c>
      <c r="K40" s="26">
        <v>6.6583281184794355E-2</v>
      </c>
      <c r="L40" s="23">
        <v>13.533333333333333</v>
      </c>
      <c r="M40" s="26">
        <v>0.11547005383792475</v>
      </c>
      <c r="N40" s="32">
        <v>201.43333333333337</v>
      </c>
      <c r="O40" s="33">
        <v>52.905324243721637</v>
      </c>
      <c r="P40" s="23">
        <v>76.103333333333339</v>
      </c>
      <c r="Q40" s="26">
        <v>44.924955574083</v>
      </c>
      <c r="R40" s="34">
        <v>1.0366312906539021</v>
      </c>
      <c r="S40" s="40" t="s">
        <v>356</v>
      </c>
      <c r="T40" s="41">
        <v>0.67361111111111116</v>
      </c>
      <c r="U40" s="13">
        <f t="shared" si="4"/>
        <v>16</v>
      </c>
    </row>
    <row r="41" spans="1:21" x14ac:dyDescent="0.35">
      <c r="A41" t="str">
        <f t="shared" si="0"/>
        <v>ESTUDIO SEGUIMIENTO DESEMPEÑO AMBIENTAL ACUICULTURA EN CHILE Y SU EFECTO EN LOS ECOSISTEMAS DE EMPLAZAMIENTO 2023-2024</v>
      </c>
      <c r="B41" t="str">
        <f t="shared" si="1"/>
        <v>Objetivo 1. Actividad 2. Muestreos y Analisis sedimentos</v>
      </c>
      <c r="C41" t="str">
        <f t="shared" si="2"/>
        <v>Gastón Vidal</v>
      </c>
      <c r="D41" t="str">
        <f t="shared" si="3"/>
        <v>INSTITUTO DE FOMENTO PESQUERO</v>
      </c>
      <c r="E41" s="14" t="s">
        <v>36</v>
      </c>
      <c r="F41" s="15" t="s">
        <v>79</v>
      </c>
      <c r="G41" s="16">
        <v>22</v>
      </c>
      <c r="H41" s="18" t="s">
        <v>88</v>
      </c>
      <c r="I41" s="18" t="s">
        <v>83</v>
      </c>
      <c r="J41" s="34">
        <v>7.68</v>
      </c>
      <c r="K41" s="26">
        <v>6.0000000000000053E-2</v>
      </c>
      <c r="L41" s="23">
        <v>13.366666666666665</v>
      </c>
      <c r="M41" s="26">
        <v>0.20816659994661327</v>
      </c>
      <c r="N41" s="32">
        <v>141.53333333333333</v>
      </c>
      <c r="O41" s="33">
        <v>93.783385166741169</v>
      </c>
      <c r="P41" s="23">
        <v>82.773333333333326</v>
      </c>
      <c r="Q41" s="26">
        <v>31.153019650321752</v>
      </c>
      <c r="R41" s="34">
        <v>2.1333888986841014</v>
      </c>
      <c r="S41" s="40" t="s">
        <v>356</v>
      </c>
      <c r="T41" s="41">
        <v>0.47222222222222227</v>
      </c>
      <c r="U41" s="13">
        <f t="shared" si="4"/>
        <v>22</v>
      </c>
    </row>
    <row r="42" spans="1:21" x14ac:dyDescent="0.35">
      <c r="A42" t="str">
        <f t="shared" si="0"/>
        <v>ESTUDIO SEGUIMIENTO DESEMPEÑO AMBIENTAL ACUICULTURA EN CHILE Y SU EFECTO EN LOS ECOSISTEMAS DE EMPLAZAMIENTO 2023-2024</v>
      </c>
      <c r="B42" t="str">
        <f t="shared" si="1"/>
        <v>Objetivo 1. Actividad 2. Muestreos y Analisis sedimentos</v>
      </c>
      <c r="C42" t="str">
        <f t="shared" si="2"/>
        <v>Gastón Vidal</v>
      </c>
      <c r="D42" t="str">
        <f t="shared" si="3"/>
        <v>INSTITUTO DE FOMENTO PESQUERO</v>
      </c>
      <c r="E42" s="14" t="s">
        <v>36</v>
      </c>
      <c r="F42" s="15" t="s">
        <v>79</v>
      </c>
      <c r="G42" s="16">
        <v>26</v>
      </c>
      <c r="H42" s="22" t="s">
        <v>89</v>
      </c>
      <c r="I42" s="22" t="s">
        <v>90</v>
      </c>
      <c r="J42" s="34">
        <v>7.6466666666666656</v>
      </c>
      <c r="K42" s="26">
        <v>2.0816659994661379E-2</v>
      </c>
      <c r="L42" s="23">
        <v>13.666666666666666</v>
      </c>
      <c r="M42" s="26">
        <v>5.7735026918962373E-2</v>
      </c>
      <c r="N42" s="32">
        <v>295.0333333333333</v>
      </c>
      <c r="O42" s="33">
        <v>15.951279990437566</v>
      </c>
      <c r="P42" s="23">
        <v>2.6666666666666668E-2</v>
      </c>
      <c r="Q42" s="26">
        <v>3.7859388972001827E-2</v>
      </c>
      <c r="R42" s="34">
        <v>1.3905274251647721</v>
      </c>
      <c r="S42" s="40" t="s">
        <v>356</v>
      </c>
      <c r="T42" s="41">
        <v>0.5625</v>
      </c>
      <c r="U42" s="13">
        <f t="shared" si="4"/>
        <v>26</v>
      </c>
    </row>
    <row r="43" spans="1:21" x14ac:dyDescent="0.35">
      <c r="A43" t="str">
        <f t="shared" si="0"/>
        <v>ESTUDIO SEGUIMIENTO DESEMPEÑO AMBIENTAL ACUICULTURA EN CHILE Y SU EFECTO EN LOS ECOSISTEMAS DE EMPLAZAMIENTO 2023-2024</v>
      </c>
      <c r="B43" t="str">
        <f t="shared" si="1"/>
        <v>Objetivo 1. Actividad 2. Muestreos y Analisis sedimentos</v>
      </c>
      <c r="C43" t="str">
        <f t="shared" si="2"/>
        <v>Gastón Vidal</v>
      </c>
      <c r="D43" t="str">
        <f t="shared" si="3"/>
        <v>INSTITUTO DE FOMENTO PESQUERO</v>
      </c>
      <c r="E43" s="14" t="s">
        <v>36</v>
      </c>
      <c r="F43" s="15" t="s">
        <v>79</v>
      </c>
      <c r="G43" s="16">
        <v>27</v>
      </c>
      <c r="H43" s="18" t="s">
        <v>91</v>
      </c>
      <c r="I43" s="18" t="s">
        <v>92</v>
      </c>
      <c r="J43" s="34">
        <v>7.22</v>
      </c>
      <c r="K43" s="26">
        <v>0.20074859899884742</v>
      </c>
      <c r="L43" s="23">
        <v>12.866666666666667</v>
      </c>
      <c r="M43" s="26">
        <v>0.25166114784235838</v>
      </c>
      <c r="N43" s="32">
        <v>164.23333333333332</v>
      </c>
      <c r="O43" s="33">
        <v>97.910639530815743</v>
      </c>
      <c r="P43" s="23">
        <v>157.3066666666667</v>
      </c>
      <c r="Q43" s="26">
        <v>50.418544538030098</v>
      </c>
      <c r="R43" s="34">
        <v>2.9598572702943904</v>
      </c>
      <c r="S43" s="40" t="s">
        <v>356</v>
      </c>
      <c r="T43" s="41">
        <v>0.62152777777777779</v>
      </c>
      <c r="U43" s="13">
        <f t="shared" si="4"/>
        <v>27</v>
      </c>
    </row>
    <row r="44" spans="1:21" x14ac:dyDescent="0.35">
      <c r="A44" t="str">
        <f t="shared" si="0"/>
        <v>ESTUDIO SEGUIMIENTO DESEMPEÑO AMBIENTAL ACUICULTURA EN CHILE Y SU EFECTO EN LOS ECOSISTEMAS DE EMPLAZAMIENTO 2023-2024</v>
      </c>
      <c r="B44" t="str">
        <f t="shared" si="1"/>
        <v>Objetivo 1. Actividad 2. Muestreos y Analisis sedimentos</v>
      </c>
      <c r="C44" t="str">
        <f t="shared" si="2"/>
        <v>Gastón Vidal</v>
      </c>
      <c r="D44" t="str">
        <f t="shared" si="3"/>
        <v>INSTITUTO DE FOMENTO PESQUERO</v>
      </c>
      <c r="E44" s="14" t="s">
        <v>36</v>
      </c>
      <c r="F44" s="15" t="s">
        <v>79</v>
      </c>
      <c r="G44" s="16">
        <v>30</v>
      </c>
      <c r="H44" s="18" t="s">
        <v>93</v>
      </c>
      <c r="I44" s="18" t="s">
        <v>94</v>
      </c>
      <c r="J44" s="34">
        <v>7.56</v>
      </c>
      <c r="K44" s="26">
        <v>0.12529964086141671</v>
      </c>
      <c r="L44" s="23">
        <v>13.233333333333334</v>
      </c>
      <c r="M44" s="26">
        <v>0.40414518843273756</v>
      </c>
      <c r="N44" s="32">
        <v>216.06666666666669</v>
      </c>
      <c r="O44" s="33">
        <v>13.250786140200638</v>
      </c>
      <c r="P44" s="23">
        <v>42.56666666666667</v>
      </c>
      <c r="Q44" s="26">
        <v>66.190144533256117</v>
      </c>
      <c r="R44" s="34">
        <v>0.77495691288459312</v>
      </c>
      <c r="S44" s="40" t="s">
        <v>356</v>
      </c>
      <c r="T44" s="41">
        <v>0.64583333333333337</v>
      </c>
      <c r="U44" s="13">
        <f t="shared" si="4"/>
        <v>30</v>
      </c>
    </row>
    <row r="45" spans="1:21" x14ac:dyDescent="0.35">
      <c r="A45" t="str">
        <f t="shared" si="0"/>
        <v>ESTUDIO SEGUIMIENTO DESEMPEÑO AMBIENTAL ACUICULTURA EN CHILE Y SU EFECTO EN LOS ECOSISTEMAS DE EMPLAZAMIENTO 2023-2024</v>
      </c>
      <c r="B45" t="str">
        <f t="shared" si="1"/>
        <v>Objetivo 1. Actividad 2. Muestreos y Analisis sedimentos</v>
      </c>
      <c r="C45" t="str">
        <f t="shared" si="2"/>
        <v>Gastón Vidal</v>
      </c>
      <c r="D45" t="str">
        <f t="shared" si="3"/>
        <v>INSTITUTO DE FOMENTO PESQUERO</v>
      </c>
      <c r="E45" s="14" t="s">
        <v>36</v>
      </c>
      <c r="F45" s="15" t="s">
        <v>95</v>
      </c>
      <c r="G45" s="16">
        <v>2</v>
      </c>
      <c r="H45" s="18" t="s">
        <v>96</v>
      </c>
      <c r="I45" s="18" t="s">
        <v>97</v>
      </c>
      <c r="J45" s="35">
        <v>7.4600000000000009</v>
      </c>
      <c r="K45" s="33">
        <v>4.5825756949558295E-2</v>
      </c>
      <c r="L45" s="32">
        <v>13.566666666666668</v>
      </c>
      <c r="M45" s="33">
        <v>0.30550504633038922</v>
      </c>
      <c r="N45" s="32">
        <v>316.3</v>
      </c>
      <c r="O45" s="33">
        <v>7.6269259862673309</v>
      </c>
      <c r="P45" s="25">
        <v>3.6266666666666669</v>
      </c>
      <c r="Q45" s="24">
        <v>6.2815709287831289</v>
      </c>
      <c r="R45" s="35">
        <v>1.2496212175870067</v>
      </c>
      <c r="S45" s="44" t="s">
        <v>357</v>
      </c>
      <c r="T45" s="45">
        <v>0.4375</v>
      </c>
      <c r="U45" s="13">
        <f t="shared" si="4"/>
        <v>2</v>
      </c>
    </row>
    <row r="46" spans="1:21" x14ac:dyDescent="0.35">
      <c r="A46" t="str">
        <f t="shared" si="0"/>
        <v>ESTUDIO SEGUIMIENTO DESEMPEÑO AMBIENTAL ACUICULTURA EN CHILE Y SU EFECTO EN LOS ECOSISTEMAS DE EMPLAZAMIENTO 2023-2024</v>
      </c>
      <c r="B46" t="str">
        <f t="shared" si="1"/>
        <v>Objetivo 1. Actividad 2. Muestreos y Analisis sedimentos</v>
      </c>
      <c r="C46" t="str">
        <f t="shared" si="2"/>
        <v>Gastón Vidal</v>
      </c>
      <c r="D46" t="str">
        <f t="shared" si="3"/>
        <v>INSTITUTO DE FOMENTO PESQUERO</v>
      </c>
      <c r="E46" s="14" t="s">
        <v>36</v>
      </c>
      <c r="F46" s="15" t="s">
        <v>95</v>
      </c>
      <c r="G46" s="16">
        <v>6</v>
      </c>
      <c r="H46" s="18" t="s">
        <v>98</v>
      </c>
      <c r="I46" s="18" t="s">
        <v>99</v>
      </c>
      <c r="J46" s="35">
        <v>7.2333333333333334</v>
      </c>
      <c r="K46" s="33">
        <v>4.041451884327342E-2</v>
      </c>
      <c r="L46" s="32">
        <v>13.4</v>
      </c>
      <c r="M46" s="33">
        <v>9.9999999999999645E-2</v>
      </c>
      <c r="N46" s="32">
        <v>327.2</v>
      </c>
      <c r="O46" s="33">
        <v>3.5383612025908247</v>
      </c>
      <c r="P46" s="25">
        <v>0</v>
      </c>
      <c r="Q46" s="24">
        <v>0</v>
      </c>
      <c r="R46" s="35">
        <v>0.98401531679952781</v>
      </c>
      <c r="S46" s="44" t="s">
        <v>357</v>
      </c>
      <c r="T46" s="45">
        <v>0.46527777777777773</v>
      </c>
      <c r="U46" s="13">
        <f t="shared" si="4"/>
        <v>6</v>
      </c>
    </row>
    <row r="47" spans="1:21" x14ac:dyDescent="0.35">
      <c r="A47" t="str">
        <f t="shared" si="0"/>
        <v>ESTUDIO SEGUIMIENTO DESEMPEÑO AMBIENTAL ACUICULTURA EN CHILE Y SU EFECTO EN LOS ECOSISTEMAS DE EMPLAZAMIENTO 2023-2024</v>
      </c>
      <c r="B47" t="str">
        <f t="shared" si="1"/>
        <v>Objetivo 1. Actividad 2. Muestreos y Analisis sedimentos</v>
      </c>
      <c r="C47" t="str">
        <f t="shared" si="2"/>
        <v>Gastón Vidal</v>
      </c>
      <c r="D47" t="str">
        <f t="shared" si="3"/>
        <v>INSTITUTO DE FOMENTO PESQUERO</v>
      </c>
      <c r="E47" s="14" t="s">
        <v>36</v>
      </c>
      <c r="F47" s="15" t="s">
        <v>95</v>
      </c>
      <c r="G47" s="16">
        <v>12</v>
      </c>
      <c r="H47" s="18" t="s">
        <v>100</v>
      </c>
      <c r="I47" s="18" t="s">
        <v>101</v>
      </c>
      <c r="J47" s="35">
        <v>7.419999999999999</v>
      </c>
      <c r="K47" s="33">
        <v>0.11532562594670816</v>
      </c>
      <c r="L47" s="32">
        <v>13.066666666666668</v>
      </c>
      <c r="M47" s="33">
        <v>0.20816659994661352</v>
      </c>
      <c r="N47" s="32">
        <v>300.13333333333333</v>
      </c>
      <c r="O47" s="33">
        <v>17.758753710025179</v>
      </c>
      <c r="P47" s="32">
        <v>3.0500000000000003</v>
      </c>
      <c r="Q47" s="33">
        <v>3.3614431424612854</v>
      </c>
      <c r="R47" s="35">
        <v>0.9215683704102241</v>
      </c>
      <c r="S47" s="44" t="s">
        <v>357</v>
      </c>
      <c r="T47" s="45">
        <v>0.50694444444444442</v>
      </c>
      <c r="U47" s="13">
        <f t="shared" si="4"/>
        <v>12</v>
      </c>
    </row>
    <row r="48" spans="1:21" x14ac:dyDescent="0.35">
      <c r="A48" t="str">
        <f t="shared" si="0"/>
        <v>ESTUDIO SEGUIMIENTO DESEMPEÑO AMBIENTAL ACUICULTURA EN CHILE Y SU EFECTO EN LOS ECOSISTEMAS DE EMPLAZAMIENTO 2023-2024</v>
      </c>
      <c r="B48" t="str">
        <f t="shared" si="1"/>
        <v>Objetivo 1. Actividad 2. Muestreos y Analisis sedimentos</v>
      </c>
      <c r="C48" t="str">
        <f t="shared" si="2"/>
        <v>Gastón Vidal</v>
      </c>
      <c r="D48" t="str">
        <f t="shared" si="3"/>
        <v>INSTITUTO DE FOMENTO PESQUERO</v>
      </c>
      <c r="E48" s="14" t="s">
        <v>36</v>
      </c>
      <c r="F48" s="15" t="s">
        <v>95</v>
      </c>
      <c r="G48" s="16">
        <v>14</v>
      </c>
      <c r="H48" s="18" t="s">
        <v>102</v>
      </c>
      <c r="I48" s="18" t="s">
        <v>103</v>
      </c>
      <c r="J48" s="35">
        <v>7.5133333333333328</v>
      </c>
      <c r="K48" s="33">
        <v>7.0237691685684736E-2</v>
      </c>
      <c r="L48" s="32">
        <v>13.1</v>
      </c>
      <c r="M48" s="33">
        <v>9.9999999999999645E-2</v>
      </c>
      <c r="N48" s="32">
        <v>425.16666666666669</v>
      </c>
      <c r="O48" s="33">
        <v>10.119453213159966</v>
      </c>
      <c r="P48" s="32">
        <v>0.93333333333333324</v>
      </c>
      <c r="Q48" s="33">
        <v>1.6165807537309522</v>
      </c>
      <c r="R48" s="35">
        <v>0.79109918485139996</v>
      </c>
      <c r="S48" s="44" t="s">
        <v>357</v>
      </c>
      <c r="T48" s="45">
        <v>0</v>
      </c>
      <c r="U48" s="13">
        <f t="shared" si="4"/>
        <v>14</v>
      </c>
    </row>
    <row r="49" spans="1:21" x14ac:dyDescent="0.35">
      <c r="A49" t="str">
        <f t="shared" si="0"/>
        <v>ESTUDIO SEGUIMIENTO DESEMPEÑO AMBIENTAL ACUICULTURA EN CHILE Y SU EFECTO EN LOS ECOSISTEMAS DE EMPLAZAMIENTO 2023-2024</v>
      </c>
      <c r="B49" t="str">
        <f t="shared" si="1"/>
        <v>Objetivo 1. Actividad 2. Muestreos y Analisis sedimentos</v>
      </c>
      <c r="C49" t="str">
        <f t="shared" si="2"/>
        <v>Gastón Vidal</v>
      </c>
      <c r="D49" t="str">
        <f t="shared" si="3"/>
        <v>INSTITUTO DE FOMENTO PESQUERO</v>
      </c>
      <c r="E49" s="14" t="s">
        <v>36</v>
      </c>
      <c r="F49" s="15" t="s">
        <v>104</v>
      </c>
      <c r="G49" s="16">
        <v>1</v>
      </c>
      <c r="H49" s="18" t="s">
        <v>105</v>
      </c>
      <c r="I49" s="18" t="s">
        <v>106</v>
      </c>
      <c r="J49" s="23">
        <v>7.253333333333333</v>
      </c>
      <c r="K49" s="26">
        <v>6.6583281184794035E-2</v>
      </c>
      <c r="L49" s="23">
        <v>12.966666666666669</v>
      </c>
      <c r="M49" s="26">
        <v>0.15275252316519414</v>
      </c>
      <c r="N49" s="25">
        <v>327.59999999999997</v>
      </c>
      <c r="O49" s="26">
        <v>3.732291521304298</v>
      </c>
      <c r="P49" s="25">
        <v>0</v>
      </c>
      <c r="Q49" s="24">
        <v>0</v>
      </c>
      <c r="R49" s="23">
        <v>1.0328382221966759</v>
      </c>
      <c r="S49" s="40" t="s">
        <v>358</v>
      </c>
      <c r="T49" s="41">
        <v>0.45833333333333331</v>
      </c>
      <c r="U49" s="13">
        <f t="shared" si="4"/>
        <v>1</v>
      </c>
    </row>
    <row r="50" spans="1:21" x14ac:dyDescent="0.35">
      <c r="A50" t="str">
        <f t="shared" si="0"/>
        <v>ESTUDIO SEGUIMIENTO DESEMPEÑO AMBIENTAL ACUICULTURA EN CHILE Y SU EFECTO EN LOS ECOSISTEMAS DE EMPLAZAMIENTO 2023-2024</v>
      </c>
      <c r="B50" t="str">
        <f t="shared" si="1"/>
        <v>Objetivo 1. Actividad 2. Muestreos y Analisis sedimentos</v>
      </c>
      <c r="C50" t="str">
        <f t="shared" si="2"/>
        <v>Gastón Vidal</v>
      </c>
      <c r="D50" t="str">
        <f t="shared" si="3"/>
        <v>INSTITUTO DE FOMENTO PESQUERO</v>
      </c>
      <c r="E50" s="14" t="s">
        <v>36</v>
      </c>
      <c r="F50" s="15" t="s">
        <v>104</v>
      </c>
      <c r="G50" s="16">
        <v>3</v>
      </c>
      <c r="H50" s="18" t="s">
        <v>107</v>
      </c>
      <c r="I50" s="18" t="s">
        <v>108</v>
      </c>
      <c r="J50" s="23">
        <v>7.0799999999999992</v>
      </c>
      <c r="K50" s="26">
        <v>0.18734993995195215</v>
      </c>
      <c r="L50" s="23">
        <v>12.633333333333335</v>
      </c>
      <c r="M50" s="26">
        <v>0.305505046330389</v>
      </c>
      <c r="N50" s="25">
        <v>315.26666666666665</v>
      </c>
      <c r="O50" s="26">
        <v>10.828819572480343</v>
      </c>
      <c r="P50" s="25">
        <v>3.6300000000000003</v>
      </c>
      <c r="Q50" s="24">
        <v>5.1308576281163756</v>
      </c>
      <c r="R50" s="23">
        <v>1.2435080580393023</v>
      </c>
      <c r="S50" s="40" t="s">
        <v>358</v>
      </c>
      <c r="T50" s="41">
        <v>0.47916666666666669</v>
      </c>
      <c r="U50" s="13">
        <f t="shared" si="4"/>
        <v>3</v>
      </c>
    </row>
    <row r="51" spans="1:21" x14ac:dyDescent="0.35">
      <c r="A51" t="str">
        <f t="shared" si="0"/>
        <v>ESTUDIO SEGUIMIENTO DESEMPEÑO AMBIENTAL ACUICULTURA EN CHILE Y SU EFECTO EN LOS ECOSISTEMAS DE EMPLAZAMIENTO 2023-2024</v>
      </c>
      <c r="B51" t="str">
        <f t="shared" si="1"/>
        <v>Objetivo 1. Actividad 2. Muestreos y Analisis sedimentos</v>
      </c>
      <c r="C51" t="str">
        <f t="shared" si="2"/>
        <v>Gastón Vidal</v>
      </c>
      <c r="D51" t="str">
        <f t="shared" si="3"/>
        <v>INSTITUTO DE FOMENTO PESQUERO</v>
      </c>
      <c r="E51" s="14" t="s">
        <v>36</v>
      </c>
      <c r="F51" s="15" t="s">
        <v>104</v>
      </c>
      <c r="G51" s="16">
        <v>7</v>
      </c>
      <c r="H51" s="18" t="s">
        <v>109</v>
      </c>
      <c r="I51" s="18" t="s">
        <v>110</v>
      </c>
      <c r="J51" s="23">
        <v>7.5966666666666667</v>
      </c>
      <c r="K51" s="24">
        <v>0.20840665376454115</v>
      </c>
      <c r="L51" s="25">
        <v>13.366666666666665</v>
      </c>
      <c r="M51" s="24">
        <v>0.28867513459481292</v>
      </c>
      <c r="N51" s="25">
        <v>392.63333333333338</v>
      </c>
      <c r="O51" s="24">
        <v>15.242156452855784</v>
      </c>
      <c r="P51" s="25">
        <v>0</v>
      </c>
      <c r="Q51" s="24">
        <v>0</v>
      </c>
      <c r="R51" s="23">
        <v>0.8564954102600264</v>
      </c>
      <c r="S51" s="40" t="s">
        <v>358</v>
      </c>
      <c r="T51" s="41">
        <v>0.5625</v>
      </c>
      <c r="U51" s="13">
        <f t="shared" si="4"/>
        <v>7</v>
      </c>
    </row>
    <row r="52" spans="1:21" x14ac:dyDescent="0.35">
      <c r="A52" t="str">
        <f t="shared" si="0"/>
        <v>ESTUDIO SEGUIMIENTO DESEMPEÑO AMBIENTAL ACUICULTURA EN CHILE Y SU EFECTO EN LOS ECOSISTEMAS DE EMPLAZAMIENTO 2023-2024</v>
      </c>
      <c r="B52" t="str">
        <f t="shared" si="1"/>
        <v>Objetivo 1. Actividad 2. Muestreos y Analisis sedimentos</v>
      </c>
      <c r="C52" t="str">
        <f t="shared" si="2"/>
        <v>Gastón Vidal</v>
      </c>
      <c r="D52" t="str">
        <f t="shared" si="3"/>
        <v>INSTITUTO DE FOMENTO PESQUERO</v>
      </c>
      <c r="E52" s="14" t="s">
        <v>36</v>
      </c>
      <c r="F52" s="15" t="s">
        <v>104</v>
      </c>
      <c r="G52" s="16">
        <v>10</v>
      </c>
      <c r="H52" s="18" t="s">
        <v>111</v>
      </c>
      <c r="I52" s="18" t="s">
        <v>112</v>
      </c>
      <c r="J52" s="23">
        <v>7.2866666666666662</v>
      </c>
      <c r="K52" s="26">
        <v>5.5075705472860732E-2</v>
      </c>
      <c r="L52" s="23">
        <v>13.566666666666668</v>
      </c>
      <c r="M52" s="26">
        <v>1.7009801096230717</v>
      </c>
      <c r="N52" s="25">
        <v>315.53333333333336</v>
      </c>
      <c r="O52" s="26">
        <v>35.479900413238674</v>
      </c>
      <c r="P52" s="25">
        <v>11.196666666666665</v>
      </c>
      <c r="Q52" s="24">
        <v>19.298011123774728</v>
      </c>
      <c r="R52" s="23">
        <v>0.9146461659767553</v>
      </c>
      <c r="S52" s="40" t="s">
        <v>358</v>
      </c>
      <c r="T52" s="41">
        <v>0.4201388888888889</v>
      </c>
      <c r="U52" s="13">
        <f t="shared" si="4"/>
        <v>10</v>
      </c>
    </row>
    <row r="53" spans="1:21" x14ac:dyDescent="0.35">
      <c r="A53" t="str">
        <f t="shared" si="0"/>
        <v>ESTUDIO SEGUIMIENTO DESEMPEÑO AMBIENTAL ACUICULTURA EN CHILE Y SU EFECTO EN LOS ECOSISTEMAS DE EMPLAZAMIENTO 2023-2024</v>
      </c>
      <c r="B53" t="str">
        <f t="shared" si="1"/>
        <v>Objetivo 1. Actividad 2. Muestreos y Analisis sedimentos</v>
      </c>
      <c r="C53" t="str">
        <f t="shared" si="2"/>
        <v>Gastón Vidal</v>
      </c>
      <c r="D53" t="str">
        <f t="shared" si="3"/>
        <v>INSTITUTO DE FOMENTO PESQUERO</v>
      </c>
      <c r="E53" s="14" t="s">
        <v>36</v>
      </c>
      <c r="F53" s="15" t="s">
        <v>104</v>
      </c>
      <c r="G53" s="16">
        <v>12</v>
      </c>
      <c r="H53" s="18" t="s">
        <v>113</v>
      </c>
      <c r="I53" s="18" t="s">
        <v>114</v>
      </c>
      <c r="J53" s="23">
        <v>7.2666666666666666</v>
      </c>
      <c r="K53" s="26">
        <v>4.9328828623162443E-2</v>
      </c>
      <c r="L53" s="23">
        <v>12.866666666666667</v>
      </c>
      <c r="M53" s="26">
        <v>5.7735026918962373E-2</v>
      </c>
      <c r="N53" s="25">
        <v>350.16666666666669</v>
      </c>
      <c r="O53" s="26">
        <v>42.193996413391957</v>
      </c>
      <c r="P53" s="25">
        <v>0.51333333333333331</v>
      </c>
      <c r="Q53" s="24">
        <v>0.6765599258996452</v>
      </c>
      <c r="R53" s="23">
        <v>1.045059898153216</v>
      </c>
      <c r="S53" s="40" t="s">
        <v>358</v>
      </c>
      <c r="T53" s="41">
        <v>0.36944444444444446</v>
      </c>
      <c r="U53" s="13">
        <f t="shared" si="4"/>
        <v>12</v>
      </c>
    </row>
    <row r="54" spans="1:21" x14ac:dyDescent="0.35">
      <c r="A54" t="str">
        <f t="shared" si="0"/>
        <v>ESTUDIO SEGUIMIENTO DESEMPEÑO AMBIENTAL ACUICULTURA EN CHILE Y SU EFECTO EN LOS ECOSISTEMAS DE EMPLAZAMIENTO 2023-2024</v>
      </c>
      <c r="B54" t="str">
        <f t="shared" si="1"/>
        <v>Objetivo 1. Actividad 2. Muestreos y Analisis sedimentos</v>
      </c>
      <c r="C54" t="str">
        <f t="shared" si="2"/>
        <v>Gastón Vidal</v>
      </c>
      <c r="D54" t="str">
        <f t="shared" si="3"/>
        <v>INSTITUTO DE FOMENTO PESQUERO</v>
      </c>
      <c r="E54" s="14" t="s">
        <v>36</v>
      </c>
      <c r="F54" s="15" t="s">
        <v>104</v>
      </c>
      <c r="G54" s="16">
        <v>13</v>
      </c>
      <c r="H54" s="18" t="s">
        <v>115</v>
      </c>
      <c r="I54" s="18" t="s">
        <v>116</v>
      </c>
      <c r="J54" s="23">
        <v>7.333333333333333</v>
      </c>
      <c r="K54" s="26">
        <v>0.11015141094572203</v>
      </c>
      <c r="L54" s="23">
        <v>13.200000000000001</v>
      </c>
      <c r="M54" s="26">
        <v>0.26457513110645914</v>
      </c>
      <c r="N54" s="25">
        <v>440.90000000000003</v>
      </c>
      <c r="O54" s="26">
        <v>30.260039656285965</v>
      </c>
      <c r="P54" s="25">
        <v>0</v>
      </c>
      <c r="Q54" s="24">
        <v>0</v>
      </c>
      <c r="R54" s="23">
        <v>1.3128564200046511</v>
      </c>
      <c r="S54" s="40" t="s">
        <v>358</v>
      </c>
      <c r="T54" s="41">
        <v>0.34722222222222227</v>
      </c>
      <c r="U54" s="13">
        <f t="shared" si="4"/>
        <v>13</v>
      </c>
    </row>
    <row r="55" spans="1:21" x14ac:dyDescent="0.35">
      <c r="A55" t="str">
        <f t="shared" si="0"/>
        <v>ESTUDIO SEGUIMIENTO DESEMPEÑO AMBIENTAL ACUICULTURA EN CHILE Y SU EFECTO EN LOS ECOSISTEMAS DE EMPLAZAMIENTO 2023-2024</v>
      </c>
      <c r="B55" t="str">
        <f t="shared" si="1"/>
        <v>Objetivo 1. Actividad 2. Muestreos y Analisis sedimentos</v>
      </c>
      <c r="C55" t="str">
        <f t="shared" si="2"/>
        <v>Gastón Vidal</v>
      </c>
      <c r="D55" t="str">
        <f t="shared" si="3"/>
        <v>INSTITUTO DE FOMENTO PESQUERO</v>
      </c>
      <c r="E55" s="14" t="s">
        <v>36</v>
      </c>
      <c r="F55" s="15" t="s">
        <v>104</v>
      </c>
      <c r="G55" s="16">
        <v>14</v>
      </c>
      <c r="H55" s="18" t="s">
        <v>117</v>
      </c>
      <c r="I55" s="18" t="s">
        <v>118</v>
      </c>
      <c r="J55" s="23">
        <v>7.1033333333333326</v>
      </c>
      <c r="K55" s="26">
        <v>1.5275252316519626E-2</v>
      </c>
      <c r="L55" s="23">
        <v>13.066666666666668</v>
      </c>
      <c r="M55" s="26">
        <v>0.20816659994661352</v>
      </c>
      <c r="N55" s="25">
        <v>300.13333333333333</v>
      </c>
      <c r="O55" s="26">
        <v>17.758753710025179</v>
      </c>
      <c r="P55" s="25">
        <v>32.020000000000003</v>
      </c>
      <c r="Q55" s="24">
        <v>27.785156108973013</v>
      </c>
      <c r="R55" s="23">
        <v>2.0307401682981236</v>
      </c>
      <c r="S55" s="40" t="s">
        <v>357</v>
      </c>
      <c r="T55" s="41">
        <v>0.65277777777777779</v>
      </c>
      <c r="U55" s="13">
        <f t="shared" si="4"/>
        <v>14</v>
      </c>
    </row>
    <row r="56" spans="1:21" x14ac:dyDescent="0.35">
      <c r="A56" t="str">
        <f t="shared" si="0"/>
        <v>ESTUDIO SEGUIMIENTO DESEMPEÑO AMBIENTAL ACUICULTURA EN CHILE Y SU EFECTO EN LOS ECOSISTEMAS DE EMPLAZAMIENTO 2023-2024</v>
      </c>
      <c r="B56" t="str">
        <f t="shared" si="1"/>
        <v>Objetivo 1. Actividad 2. Muestreos y Analisis sedimentos</v>
      </c>
      <c r="C56" t="str">
        <f t="shared" si="2"/>
        <v>Gastón Vidal</v>
      </c>
      <c r="D56" t="str">
        <f t="shared" si="3"/>
        <v>INSTITUTO DE FOMENTO PESQUERO</v>
      </c>
      <c r="E56" s="14" t="s">
        <v>36</v>
      </c>
      <c r="F56" s="15" t="s">
        <v>119</v>
      </c>
      <c r="G56" s="16">
        <v>3</v>
      </c>
      <c r="H56" s="18" t="s">
        <v>120</v>
      </c>
      <c r="I56" s="18" t="s">
        <v>121</v>
      </c>
      <c r="J56" s="23">
        <v>7.6133333333333333</v>
      </c>
      <c r="K56" s="26">
        <v>0.10066445913694343</v>
      </c>
      <c r="L56" s="23">
        <v>12</v>
      </c>
      <c r="M56" s="26">
        <v>0</v>
      </c>
      <c r="N56" s="25">
        <v>407.59999999999997</v>
      </c>
      <c r="O56" s="26">
        <v>38.585100751455876</v>
      </c>
      <c r="P56" s="25">
        <v>0</v>
      </c>
      <c r="Q56" s="24">
        <v>0</v>
      </c>
      <c r="R56" s="23">
        <v>0.72605277652600475</v>
      </c>
      <c r="S56" s="40" t="s">
        <v>359</v>
      </c>
      <c r="T56" s="41">
        <v>0.34722222222222227</v>
      </c>
      <c r="U56" s="13">
        <f t="shared" si="4"/>
        <v>3</v>
      </c>
    </row>
    <row r="57" spans="1:21" x14ac:dyDescent="0.35">
      <c r="A57" t="str">
        <f t="shared" si="0"/>
        <v>ESTUDIO SEGUIMIENTO DESEMPEÑO AMBIENTAL ACUICULTURA EN CHILE Y SU EFECTO EN LOS ECOSISTEMAS DE EMPLAZAMIENTO 2023-2024</v>
      </c>
      <c r="B57" t="str">
        <f t="shared" si="1"/>
        <v>Objetivo 1. Actividad 2. Muestreos y Analisis sedimentos</v>
      </c>
      <c r="C57" t="str">
        <f t="shared" si="2"/>
        <v>Gastón Vidal</v>
      </c>
      <c r="D57" t="str">
        <f t="shared" si="3"/>
        <v>INSTITUTO DE FOMENTO PESQUERO</v>
      </c>
      <c r="E57" s="14" t="s">
        <v>36</v>
      </c>
      <c r="F57" s="15" t="s">
        <v>119</v>
      </c>
      <c r="G57" s="16">
        <v>4</v>
      </c>
      <c r="H57" s="18" t="s">
        <v>122</v>
      </c>
      <c r="I57" s="18" t="s">
        <v>123</v>
      </c>
      <c r="J57" s="23">
        <v>7.12</v>
      </c>
      <c r="K57" s="26">
        <v>0.15394804318340644</v>
      </c>
      <c r="L57" s="23">
        <v>12.133333333333333</v>
      </c>
      <c r="M57" s="26">
        <v>5.7735026918962373E-2</v>
      </c>
      <c r="N57" s="25">
        <v>279.03333333333336</v>
      </c>
      <c r="O57" s="26">
        <v>19.351055096126753</v>
      </c>
      <c r="P57" s="25">
        <v>2.2066666666666666</v>
      </c>
      <c r="Q57" s="24">
        <v>2.790955630842836</v>
      </c>
      <c r="R57" s="23">
        <v>1.2578078206554362</v>
      </c>
      <c r="S57" s="40" t="s">
        <v>359</v>
      </c>
      <c r="T57" s="41">
        <v>0.36527777777777781</v>
      </c>
      <c r="U57" s="13">
        <f t="shared" si="4"/>
        <v>4</v>
      </c>
    </row>
    <row r="58" spans="1:21" x14ac:dyDescent="0.35">
      <c r="A58" t="str">
        <f t="shared" si="0"/>
        <v>ESTUDIO SEGUIMIENTO DESEMPEÑO AMBIENTAL ACUICULTURA EN CHILE Y SU EFECTO EN LOS ECOSISTEMAS DE EMPLAZAMIENTO 2023-2024</v>
      </c>
      <c r="B58" t="str">
        <f t="shared" si="1"/>
        <v>Objetivo 1. Actividad 2. Muestreos y Analisis sedimentos</v>
      </c>
      <c r="C58" t="str">
        <f t="shared" si="2"/>
        <v>Gastón Vidal</v>
      </c>
      <c r="D58" t="str">
        <f t="shared" si="3"/>
        <v>INSTITUTO DE FOMENTO PESQUERO</v>
      </c>
      <c r="E58" s="14" t="s">
        <v>36</v>
      </c>
      <c r="F58" s="15" t="s">
        <v>119</v>
      </c>
      <c r="G58" s="16">
        <v>7</v>
      </c>
      <c r="H58" s="18" t="s">
        <v>124</v>
      </c>
      <c r="I58" s="18" t="s">
        <v>125</v>
      </c>
      <c r="J58" s="23">
        <v>7.4533333333333331</v>
      </c>
      <c r="K58" s="26">
        <v>9.0184995056457731E-2</v>
      </c>
      <c r="L58" s="23">
        <v>12.666666666666666</v>
      </c>
      <c r="M58" s="26">
        <v>0.28867513459481292</v>
      </c>
      <c r="N58" s="25">
        <v>321.3</v>
      </c>
      <c r="O58" s="26">
        <v>13.397387805090972</v>
      </c>
      <c r="P58" s="25">
        <v>0</v>
      </c>
      <c r="Q58" s="24">
        <v>0</v>
      </c>
      <c r="R58" s="23">
        <v>0.82271088314456098</v>
      </c>
      <c r="S58" s="40" t="s">
        <v>358</v>
      </c>
      <c r="T58" s="41">
        <v>0.69791666666666663</v>
      </c>
      <c r="U58" s="13">
        <f t="shared" si="4"/>
        <v>7</v>
      </c>
    </row>
    <row r="59" spans="1:21" x14ac:dyDescent="0.35">
      <c r="A59" t="str">
        <f t="shared" si="0"/>
        <v>ESTUDIO SEGUIMIENTO DESEMPEÑO AMBIENTAL ACUICULTURA EN CHILE Y SU EFECTO EN LOS ECOSISTEMAS DE EMPLAZAMIENTO 2023-2024</v>
      </c>
      <c r="B59" t="str">
        <f t="shared" si="1"/>
        <v>Objetivo 1. Actividad 2. Muestreos y Analisis sedimentos</v>
      </c>
      <c r="C59" t="str">
        <f t="shared" si="2"/>
        <v>Gastón Vidal</v>
      </c>
      <c r="D59" t="str">
        <f t="shared" si="3"/>
        <v>INSTITUTO DE FOMENTO PESQUERO</v>
      </c>
      <c r="E59" s="14" t="s">
        <v>36</v>
      </c>
      <c r="F59" s="15" t="s">
        <v>119</v>
      </c>
      <c r="G59" s="16">
        <v>10</v>
      </c>
      <c r="H59" s="18" t="s">
        <v>126</v>
      </c>
      <c r="I59" s="18" t="s">
        <v>127</v>
      </c>
      <c r="J59" s="23">
        <v>7.03</v>
      </c>
      <c r="K59" s="26">
        <v>3.6055512754640105E-2</v>
      </c>
      <c r="L59" s="23">
        <v>12.933333333333332</v>
      </c>
      <c r="M59" s="26">
        <v>5.7735026918962373E-2</v>
      </c>
      <c r="N59" s="25">
        <v>259.83333333333331</v>
      </c>
      <c r="O59" s="26">
        <v>30.450670490702379</v>
      </c>
      <c r="P59" s="25">
        <v>1.194703940691505</v>
      </c>
      <c r="Q59" s="24">
        <v>2.0489338617404873</v>
      </c>
      <c r="R59" s="23">
        <v>1.0992479552066974</v>
      </c>
      <c r="S59" s="40" t="s">
        <v>358</v>
      </c>
      <c r="T59" s="41">
        <v>0.65972222222222221</v>
      </c>
      <c r="U59" s="13">
        <f t="shared" si="4"/>
        <v>10</v>
      </c>
    </row>
    <row r="60" spans="1:21" x14ac:dyDescent="0.35">
      <c r="A60" t="str">
        <f t="shared" si="0"/>
        <v>ESTUDIO SEGUIMIENTO DESEMPEÑO AMBIENTAL ACUICULTURA EN CHILE Y SU EFECTO EN LOS ECOSISTEMAS DE EMPLAZAMIENTO 2023-2024</v>
      </c>
      <c r="B60" t="str">
        <f t="shared" si="1"/>
        <v>Objetivo 1. Actividad 2. Muestreos y Analisis sedimentos</v>
      </c>
      <c r="C60" t="str">
        <f t="shared" si="2"/>
        <v>Gastón Vidal</v>
      </c>
      <c r="D60" t="str">
        <f t="shared" si="3"/>
        <v>INSTITUTO DE FOMENTO PESQUERO</v>
      </c>
      <c r="E60" s="14" t="s">
        <v>36</v>
      </c>
      <c r="F60" s="15" t="s">
        <v>119</v>
      </c>
      <c r="G60" s="16">
        <v>13</v>
      </c>
      <c r="H60" s="18" t="s">
        <v>128</v>
      </c>
      <c r="I60" s="18" t="s">
        <v>129</v>
      </c>
      <c r="J60" s="23">
        <v>7.2033333333333331</v>
      </c>
      <c r="K60" s="26">
        <v>5.7735026918961348E-3</v>
      </c>
      <c r="L60" s="23">
        <v>13.166666666666666</v>
      </c>
      <c r="M60" s="26">
        <v>0.15275252316519491</v>
      </c>
      <c r="N60" s="25">
        <v>329.86666666666667</v>
      </c>
      <c r="O60" s="26">
        <v>25.631491047797692</v>
      </c>
      <c r="P60" s="25">
        <v>0</v>
      </c>
      <c r="Q60" s="24">
        <v>0</v>
      </c>
      <c r="R60" s="23">
        <v>0.92723760463617733</v>
      </c>
      <c r="S60" s="40" t="s">
        <v>359</v>
      </c>
      <c r="T60" s="41">
        <v>0.55208333333333337</v>
      </c>
      <c r="U60" s="13">
        <f t="shared" si="4"/>
        <v>13</v>
      </c>
    </row>
    <row r="61" spans="1:21" x14ac:dyDescent="0.35">
      <c r="A61" t="str">
        <f t="shared" si="0"/>
        <v>ESTUDIO SEGUIMIENTO DESEMPEÑO AMBIENTAL ACUICULTURA EN CHILE Y SU EFECTO EN LOS ECOSISTEMAS DE EMPLAZAMIENTO 2023-2024</v>
      </c>
      <c r="B61" t="str">
        <f t="shared" si="1"/>
        <v>Objetivo 1. Actividad 2. Muestreos y Analisis sedimentos</v>
      </c>
      <c r="C61" t="str">
        <f t="shared" si="2"/>
        <v>Gastón Vidal</v>
      </c>
      <c r="D61" t="str">
        <f t="shared" si="3"/>
        <v>INSTITUTO DE FOMENTO PESQUERO</v>
      </c>
      <c r="E61" s="14" t="s">
        <v>36</v>
      </c>
      <c r="F61" s="15" t="s">
        <v>130</v>
      </c>
      <c r="G61" s="16">
        <v>2</v>
      </c>
      <c r="H61" s="18" t="s">
        <v>131</v>
      </c>
      <c r="I61" s="18" t="s">
        <v>132</v>
      </c>
      <c r="J61" s="23">
        <v>7.19</v>
      </c>
      <c r="K61" s="26">
        <v>0.22271057451320067</v>
      </c>
      <c r="L61" s="23">
        <v>12.533333333333333</v>
      </c>
      <c r="M61" s="26">
        <v>0.11547005383792475</v>
      </c>
      <c r="N61" s="25">
        <v>318.33333333333331</v>
      </c>
      <c r="O61" s="26">
        <v>11.515352071618716</v>
      </c>
      <c r="P61" s="25">
        <v>1.9100000000000001</v>
      </c>
      <c r="Q61" s="24">
        <v>3.308217042456556</v>
      </c>
      <c r="R61" s="23">
        <v>1.4303171693606345</v>
      </c>
      <c r="S61" s="40" t="s">
        <v>359</v>
      </c>
      <c r="T61" s="41">
        <v>0.63194444444444442</v>
      </c>
      <c r="U61" s="13">
        <f t="shared" si="4"/>
        <v>2</v>
      </c>
    </row>
    <row r="62" spans="1:21" x14ac:dyDescent="0.35">
      <c r="A62" t="str">
        <f t="shared" si="0"/>
        <v>ESTUDIO SEGUIMIENTO DESEMPEÑO AMBIENTAL ACUICULTURA EN CHILE Y SU EFECTO EN LOS ECOSISTEMAS DE EMPLAZAMIENTO 2023-2024</v>
      </c>
      <c r="B62" t="str">
        <f t="shared" si="1"/>
        <v>Objetivo 1. Actividad 2. Muestreos y Analisis sedimentos</v>
      </c>
      <c r="C62" t="str">
        <f t="shared" si="2"/>
        <v>Gastón Vidal</v>
      </c>
      <c r="D62" t="str">
        <f t="shared" si="3"/>
        <v>INSTITUTO DE FOMENTO PESQUERO</v>
      </c>
      <c r="E62" s="14" t="s">
        <v>36</v>
      </c>
      <c r="F62" s="15" t="s">
        <v>130</v>
      </c>
      <c r="G62" s="16">
        <v>3</v>
      </c>
      <c r="H62" s="18" t="s">
        <v>133</v>
      </c>
      <c r="I62" s="18" t="s">
        <v>134</v>
      </c>
      <c r="J62" s="23">
        <v>7.2033333333333331</v>
      </c>
      <c r="K62" s="26">
        <v>9.0737717258774747E-2</v>
      </c>
      <c r="L62" s="23">
        <v>12.633333333333333</v>
      </c>
      <c r="M62" s="26">
        <v>0.11547005383792475</v>
      </c>
      <c r="N62" s="25">
        <v>276.73333333333329</v>
      </c>
      <c r="O62" s="26">
        <v>8.6673717661891558</v>
      </c>
      <c r="P62" s="25">
        <v>7.48</v>
      </c>
      <c r="Q62" s="24">
        <v>12.955740040615202</v>
      </c>
      <c r="R62" s="23">
        <v>0.93282414073750031</v>
      </c>
      <c r="S62" s="40" t="s">
        <v>359</v>
      </c>
      <c r="T62" s="41">
        <v>0.67013888888888884</v>
      </c>
      <c r="U62" s="13">
        <f t="shared" si="4"/>
        <v>3</v>
      </c>
    </row>
    <row r="63" spans="1:21" x14ac:dyDescent="0.35">
      <c r="A63" t="str">
        <f t="shared" si="0"/>
        <v>ESTUDIO SEGUIMIENTO DESEMPEÑO AMBIENTAL ACUICULTURA EN CHILE Y SU EFECTO EN LOS ECOSISTEMAS DE EMPLAZAMIENTO 2023-2024</v>
      </c>
      <c r="B63" t="str">
        <f t="shared" si="1"/>
        <v>Objetivo 1. Actividad 2. Muestreos y Analisis sedimentos</v>
      </c>
      <c r="C63" t="str">
        <f t="shared" si="2"/>
        <v>Gastón Vidal</v>
      </c>
      <c r="D63" t="str">
        <f t="shared" si="3"/>
        <v>INSTITUTO DE FOMENTO PESQUERO</v>
      </c>
      <c r="E63" s="14" t="s">
        <v>36</v>
      </c>
      <c r="F63" s="15" t="s">
        <v>130</v>
      </c>
      <c r="G63" s="16">
        <v>6</v>
      </c>
      <c r="H63" s="18" t="s">
        <v>135</v>
      </c>
      <c r="I63" s="18" t="s">
        <v>136</v>
      </c>
      <c r="J63" s="23">
        <v>7.166666666666667</v>
      </c>
      <c r="K63" s="26">
        <v>3.0550504633039155E-2</v>
      </c>
      <c r="L63" s="23">
        <v>12.966666666666669</v>
      </c>
      <c r="M63" s="26">
        <v>0.20816659994661252</v>
      </c>
      <c r="N63" s="25">
        <v>233.13333333333333</v>
      </c>
      <c r="O63" s="26">
        <v>1.537313674346698</v>
      </c>
      <c r="P63" s="25">
        <v>56.403333333333336</v>
      </c>
      <c r="Q63" s="24">
        <v>75.981188022650286</v>
      </c>
      <c r="R63" s="23">
        <v>1.0017327953657231</v>
      </c>
      <c r="S63" s="40" t="s">
        <v>359</v>
      </c>
      <c r="T63" s="41">
        <v>0.64583333333333337</v>
      </c>
      <c r="U63" s="13">
        <f t="shared" si="4"/>
        <v>6</v>
      </c>
    </row>
    <row r="64" spans="1:21" x14ac:dyDescent="0.35">
      <c r="A64" t="str">
        <f t="shared" si="0"/>
        <v>ESTUDIO SEGUIMIENTO DESEMPEÑO AMBIENTAL ACUICULTURA EN CHILE Y SU EFECTO EN LOS ECOSISTEMAS DE EMPLAZAMIENTO 2023-2024</v>
      </c>
      <c r="B64" t="str">
        <f t="shared" si="1"/>
        <v>Objetivo 1. Actividad 2. Muestreos y Analisis sedimentos</v>
      </c>
      <c r="C64" t="str">
        <f t="shared" si="2"/>
        <v>Gastón Vidal</v>
      </c>
      <c r="D64" t="str">
        <f t="shared" si="3"/>
        <v>INSTITUTO DE FOMENTO PESQUERO</v>
      </c>
      <c r="E64" s="14" t="s">
        <v>36</v>
      </c>
      <c r="F64" s="15" t="s">
        <v>130</v>
      </c>
      <c r="G64" s="16">
        <v>9</v>
      </c>
      <c r="H64" s="18" t="s">
        <v>137</v>
      </c>
      <c r="I64" s="18" t="s">
        <v>138</v>
      </c>
      <c r="J64" s="23">
        <v>7.2566666666666668</v>
      </c>
      <c r="K64" s="26">
        <v>0.12220201853215536</v>
      </c>
      <c r="L64" s="23">
        <v>13.133333333333333</v>
      </c>
      <c r="M64" s="26">
        <v>0.11547005383792475</v>
      </c>
      <c r="N64" s="25">
        <v>332.59999999999997</v>
      </c>
      <c r="O64" s="26">
        <v>24.339474110999205</v>
      </c>
      <c r="P64" s="25">
        <v>2.1833333333333336</v>
      </c>
      <c r="Q64" s="24">
        <v>3.0723009835192467</v>
      </c>
      <c r="R64" s="23">
        <v>0.90983965202170558</v>
      </c>
      <c r="S64" s="40" t="s">
        <v>359</v>
      </c>
      <c r="T64" s="41">
        <v>0.61805555555555558</v>
      </c>
      <c r="U64" s="13">
        <f t="shared" si="4"/>
        <v>9</v>
      </c>
    </row>
    <row r="65" spans="1:21" x14ac:dyDescent="0.35">
      <c r="A65" t="str">
        <f t="shared" si="0"/>
        <v>ESTUDIO SEGUIMIENTO DESEMPEÑO AMBIENTAL ACUICULTURA EN CHILE Y SU EFECTO EN LOS ECOSISTEMAS DE EMPLAZAMIENTO 2023-2024</v>
      </c>
      <c r="B65" t="str">
        <f t="shared" si="1"/>
        <v>Objetivo 1. Actividad 2. Muestreos y Analisis sedimentos</v>
      </c>
      <c r="C65" t="str">
        <f t="shared" si="2"/>
        <v>Gastón Vidal</v>
      </c>
      <c r="D65" t="str">
        <f t="shared" si="3"/>
        <v>INSTITUTO DE FOMENTO PESQUERO</v>
      </c>
      <c r="E65" s="14" t="s">
        <v>36</v>
      </c>
      <c r="F65" s="15" t="s">
        <v>130</v>
      </c>
      <c r="G65" s="16">
        <v>14</v>
      </c>
      <c r="H65" s="18" t="s">
        <v>139</v>
      </c>
      <c r="I65" s="18" t="s">
        <v>140</v>
      </c>
      <c r="J65" s="23">
        <v>7.31</v>
      </c>
      <c r="K65" s="26">
        <v>6.9282032302754648E-2</v>
      </c>
      <c r="L65" s="23">
        <v>13.466666666666669</v>
      </c>
      <c r="M65" s="26">
        <v>0.28867513459481292</v>
      </c>
      <c r="N65" s="25">
        <v>271.53333333333336</v>
      </c>
      <c r="O65" s="26">
        <v>10.364522822268917</v>
      </c>
      <c r="P65" s="25">
        <v>34.226666666666667</v>
      </c>
      <c r="Q65" s="24">
        <v>50.651786082361731</v>
      </c>
      <c r="R65" s="23">
        <v>0.94152816280642826</v>
      </c>
      <c r="S65" s="40" t="s">
        <v>359</v>
      </c>
      <c r="T65" s="41">
        <v>0.58680555555555558</v>
      </c>
      <c r="U65" s="13">
        <f t="shared" si="4"/>
        <v>14</v>
      </c>
    </row>
    <row r="66" spans="1:21" x14ac:dyDescent="0.35">
      <c r="A66" t="str">
        <f t="shared" si="0"/>
        <v>ESTUDIO SEGUIMIENTO DESEMPEÑO AMBIENTAL ACUICULTURA EN CHILE Y SU EFECTO EN LOS ECOSISTEMAS DE EMPLAZAMIENTO 2023-2024</v>
      </c>
      <c r="B66" t="str">
        <f t="shared" si="1"/>
        <v>Objetivo 1. Actividad 2. Muestreos y Analisis sedimentos</v>
      </c>
      <c r="C66" t="str">
        <f t="shared" si="2"/>
        <v>Gastón Vidal</v>
      </c>
      <c r="D66" t="str">
        <f t="shared" si="3"/>
        <v>INSTITUTO DE FOMENTO PESQUERO</v>
      </c>
      <c r="E66" s="14" t="s">
        <v>36</v>
      </c>
      <c r="F66" s="15" t="s">
        <v>141</v>
      </c>
      <c r="G66" s="16">
        <v>1</v>
      </c>
      <c r="H66" s="18" t="s">
        <v>142</v>
      </c>
      <c r="I66" s="18" t="s">
        <v>143</v>
      </c>
      <c r="J66" s="23">
        <v>7.0966666666666667</v>
      </c>
      <c r="K66" s="26">
        <v>7.7674534651540478E-2</v>
      </c>
      <c r="L66" s="23">
        <v>56.9</v>
      </c>
      <c r="M66" s="26">
        <v>75.430829241100099</v>
      </c>
      <c r="N66" s="25">
        <v>167.13333333333333</v>
      </c>
      <c r="O66" s="26">
        <v>46.4661525557404</v>
      </c>
      <c r="P66" s="25">
        <v>41.74666666666667</v>
      </c>
      <c r="Q66" s="24">
        <v>54.455249823440653</v>
      </c>
      <c r="R66" s="23">
        <v>1.7370098907386895</v>
      </c>
      <c r="S66" s="46" t="s">
        <v>360</v>
      </c>
      <c r="T66" s="41">
        <v>0.58819444444444446</v>
      </c>
      <c r="U66" s="13">
        <f t="shared" si="4"/>
        <v>1</v>
      </c>
    </row>
    <row r="67" spans="1:21" x14ac:dyDescent="0.35">
      <c r="A67" t="str">
        <f t="shared" si="0"/>
        <v>ESTUDIO SEGUIMIENTO DESEMPEÑO AMBIENTAL ACUICULTURA EN CHILE Y SU EFECTO EN LOS ECOSISTEMAS DE EMPLAZAMIENTO 2023-2024</v>
      </c>
      <c r="B67" t="str">
        <f t="shared" si="1"/>
        <v>Objetivo 1. Actividad 2. Muestreos y Analisis sedimentos</v>
      </c>
      <c r="C67" t="str">
        <f t="shared" si="2"/>
        <v>Gastón Vidal</v>
      </c>
      <c r="D67" t="str">
        <f t="shared" si="3"/>
        <v>INSTITUTO DE FOMENTO PESQUERO</v>
      </c>
      <c r="E67" s="14" t="s">
        <v>36</v>
      </c>
      <c r="F67" s="15" t="s">
        <v>141</v>
      </c>
      <c r="G67" s="16">
        <v>4</v>
      </c>
      <c r="H67" s="18" t="s">
        <v>144</v>
      </c>
      <c r="I67" s="18" t="s">
        <v>145</v>
      </c>
      <c r="J67" s="23">
        <v>7.2266666666666666</v>
      </c>
      <c r="K67" s="26">
        <v>0.15307950004273388</v>
      </c>
      <c r="L67" s="23">
        <v>13.466666666666667</v>
      </c>
      <c r="M67" s="26">
        <v>0.25166114784235838</v>
      </c>
      <c r="N67" s="25">
        <v>250.06666666666663</v>
      </c>
      <c r="O67" s="26">
        <v>7.8945128623198286</v>
      </c>
      <c r="P67" s="25">
        <v>104.92</v>
      </c>
      <c r="Q67" s="26">
        <v>52.078653016375206</v>
      </c>
      <c r="R67" s="23">
        <v>1.5852387334334717</v>
      </c>
      <c r="S67" s="46" t="s">
        <v>360</v>
      </c>
      <c r="T67" s="41">
        <v>0.53472222222222221</v>
      </c>
      <c r="U67" s="13">
        <f t="shared" si="4"/>
        <v>4</v>
      </c>
    </row>
    <row r="68" spans="1:21" x14ac:dyDescent="0.35">
      <c r="A68" t="str">
        <f t="shared" si="0"/>
        <v>ESTUDIO SEGUIMIENTO DESEMPEÑO AMBIENTAL ACUICULTURA EN CHILE Y SU EFECTO EN LOS ECOSISTEMAS DE EMPLAZAMIENTO 2023-2024</v>
      </c>
      <c r="B68" t="str">
        <f t="shared" si="1"/>
        <v>Objetivo 1. Actividad 2. Muestreos y Analisis sedimentos</v>
      </c>
      <c r="C68" t="str">
        <f t="shared" si="2"/>
        <v>Gastón Vidal</v>
      </c>
      <c r="D68" t="str">
        <f t="shared" si="3"/>
        <v>INSTITUTO DE FOMENTO PESQUERO</v>
      </c>
      <c r="E68" s="14" t="s">
        <v>36</v>
      </c>
      <c r="F68" s="15" t="s">
        <v>141</v>
      </c>
      <c r="G68" s="16">
        <v>6</v>
      </c>
      <c r="H68" s="18" t="s">
        <v>146</v>
      </c>
      <c r="I68" s="18" t="s">
        <v>147</v>
      </c>
      <c r="J68" s="23">
        <v>7.37</v>
      </c>
      <c r="K68" s="26">
        <v>4.9999999999999822E-2</v>
      </c>
      <c r="L68" s="23">
        <v>13.266666666666666</v>
      </c>
      <c r="M68" s="26">
        <v>0.15275252316519508</v>
      </c>
      <c r="N68" s="25">
        <v>244.19999999999996</v>
      </c>
      <c r="O68" s="26">
        <v>42.371688661180706</v>
      </c>
      <c r="P68" s="25">
        <v>54.420000000000009</v>
      </c>
      <c r="Q68" s="26">
        <v>55.088956243515803</v>
      </c>
      <c r="R68" s="23">
        <v>0.93596424073297835</v>
      </c>
      <c r="S68" s="46" t="s">
        <v>360</v>
      </c>
      <c r="T68" s="41">
        <v>0.51180555555555551</v>
      </c>
      <c r="U68" s="13">
        <f t="shared" si="4"/>
        <v>6</v>
      </c>
    </row>
    <row r="69" spans="1:21" x14ac:dyDescent="0.35">
      <c r="A69" t="str">
        <f t="shared" si="0"/>
        <v>ESTUDIO SEGUIMIENTO DESEMPEÑO AMBIENTAL ACUICULTURA EN CHILE Y SU EFECTO EN LOS ECOSISTEMAS DE EMPLAZAMIENTO 2023-2024</v>
      </c>
      <c r="B69" t="str">
        <f t="shared" si="1"/>
        <v>Objetivo 1. Actividad 2. Muestreos y Analisis sedimentos</v>
      </c>
      <c r="C69" t="str">
        <f t="shared" si="2"/>
        <v>Gastón Vidal</v>
      </c>
      <c r="D69" t="str">
        <f t="shared" si="3"/>
        <v>INSTITUTO DE FOMENTO PESQUERO</v>
      </c>
      <c r="E69" s="14" t="s">
        <v>36</v>
      </c>
      <c r="F69" s="15" t="s">
        <v>141</v>
      </c>
      <c r="G69" s="16">
        <v>7</v>
      </c>
      <c r="H69" s="18" t="s">
        <v>148</v>
      </c>
      <c r="I69" s="18" t="s">
        <v>149</v>
      </c>
      <c r="J69" s="23">
        <v>7.3033333333333337</v>
      </c>
      <c r="K69" s="26">
        <v>0.11150485789118485</v>
      </c>
      <c r="L69" s="23">
        <v>13.5</v>
      </c>
      <c r="M69" s="26">
        <v>0.36055512754639935</v>
      </c>
      <c r="N69" s="25">
        <v>364.7</v>
      </c>
      <c r="O69" s="26">
        <v>27.23949338735946</v>
      </c>
      <c r="P69" s="25">
        <v>0.50666666666666671</v>
      </c>
      <c r="Q69" s="24">
        <v>0.80835223345601848</v>
      </c>
      <c r="R69" s="23">
        <v>0.9748444539798472</v>
      </c>
      <c r="S69" s="46" t="s">
        <v>360</v>
      </c>
      <c r="T69" s="41">
        <v>0.3756944444444445</v>
      </c>
      <c r="U69" s="13">
        <f t="shared" si="4"/>
        <v>7</v>
      </c>
    </row>
    <row r="70" spans="1:21" x14ac:dyDescent="0.35">
      <c r="A70" t="str">
        <f t="shared" si="0"/>
        <v>ESTUDIO SEGUIMIENTO DESEMPEÑO AMBIENTAL ACUICULTURA EN CHILE Y SU EFECTO EN LOS ECOSISTEMAS DE EMPLAZAMIENTO 2023-2024</v>
      </c>
      <c r="B70" t="str">
        <f t="shared" si="1"/>
        <v>Objetivo 1. Actividad 2. Muestreos y Analisis sedimentos</v>
      </c>
      <c r="C70" t="str">
        <f t="shared" si="2"/>
        <v>Gastón Vidal</v>
      </c>
      <c r="D70" t="str">
        <f t="shared" si="3"/>
        <v>INSTITUTO DE FOMENTO PESQUERO</v>
      </c>
      <c r="E70" s="14" t="s">
        <v>36</v>
      </c>
      <c r="F70" s="15" t="s">
        <v>141</v>
      </c>
      <c r="G70" s="16">
        <v>11</v>
      </c>
      <c r="H70" s="18" t="s">
        <v>150</v>
      </c>
      <c r="I70" s="18" t="s">
        <v>151</v>
      </c>
      <c r="J70" s="23">
        <v>7.626666666666666</v>
      </c>
      <c r="K70" s="26">
        <v>0.12503332889007335</v>
      </c>
      <c r="L70" s="23">
        <v>13.166666666666666</v>
      </c>
      <c r="M70" s="26">
        <v>0.15275252316519491</v>
      </c>
      <c r="N70" s="25">
        <v>267.23333333333329</v>
      </c>
      <c r="O70" s="26">
        <v>3.6170890690351176</v>
      </c>
      <c r="P70" s="25">
        <v>12.753333333333332</v>
      </c>
      <c r="Q70" s="24">
        <v>6.7546009011142409</v>
      </c>
      <c r="R70" s="23">
        <v>0.88190980881128012</v>
      </c>
      <c r="S70" s="46" t="s">
        <v>360</v>
      </c>
      <c r="T70" s="41">
        <v>0.39583333333333331</v>
      </c>
      <c r="U70" s="13">
        <f t="shared" si="4"/>
        <v>11</v>
      </c>
    </row>
    <row r="71" spans="1:21" x14ac:dyDescent="0.35">
      <c r="A71" t="str">
        <f t="shared" si="0"/>
        <v>ESTUDIO SEGUIMIENTO DESEMPEÑO AMBIENTAL ACUICULTURA EN CHILE Y SU EFECTO EN LOS ECOSISTEMAS DE EMPLAZAMIENTO 2023-2024</v>
      </c>
      <c r="B71" t="str">
        <f t="shared" si="1"/>
        <v>Objetivo 1. Actividad 2. Muestreos y Analisis sedimentos</v>
      </c>
      <c r="C71" t="str">
        <f t="shared" si="2"/>
        <v>Gastón Vidal</v>
      </c>
      <c r="D71" t="str">
        <f t="shared" si="3"/>
        <v>INSTITUTO DE FOMENTO PESQUERO</v>
      </c>
      <c r="E71" s="14" t="s">
        <v>36</v>
      </c>
      <c r="F71" s="15" t="s">
        <v>141</v>
      </c>
      <c r="G71" s="16">
        <v>12</v>
      </c>
      <c r="H71" s="18" t="s">
        <v>152</v>
      </c>
      <c r="I71" s="18" t="s">
        <v>153</v>
      </c>
      <c r="J71" s="23">
        <v>7.4600000000000009</v>
      </c>
      <c r="K71" s="26">
        <v>9.6436507609929847E-2</v>
      </c>
      <c r="L71" s="23">
        <v>13.166666666666666</v>
      </c>
      <c r="M71" s="26">
        <v>0.20816659994661352</v>
      </c>
      <c r="N71" s="25">
        <v>295.73333333333335</v>
      </c>
      <c r="O71" s="26">
        <v>16.937925886404567</v>
      </c>
      <c r="P71" s="25">
        <v>61.00333333333333</v>
      </c>
      <c r="Q71" s="26">
        <v>26.350810866714024</v>
      </c>
      <c r="R71" s="23">
        <v>0.74619077436862979</v>
      </c>
      <c r="S71" s="46" t="s">
        <v>360</v>
      </c>
      <c r="T71" s="41">
        <v>0.4513888888888889</v>
      </c>
      <c r="U71" s="13">
        <f t="shared" si="4"/>
        <v>12</v>
      </c>
    </row>
    <row r="72" spans="1:21" x14ac:dyDescent="0.35">
      <c r="A72" t="str">
        <f t="shared" si="0"/>
        <v>ESTUDIO SEGUIMIENTO DESEMPEÑO AMBIENTAL ACUICULTURA EN CHILE Y SU EFECTO EN LOS ECOSISTEMAS DE EMPLAZAMIENTO 2023-2024</v>
      </c>
      <c r="B72" t="str">
        <f t="shared" si="1"/>
        <v>Objetivo 1. Actividad 2. Muestreos y Analisis sedimentos</v>
      </c>
      <c r="C72" t="str">
        <f t="shared" si="2"/>
        <v>Gastón Vidal</v>
      </c>
      <c r="D72" t="str">
        <f t="shared" si="3"/>
        <v>INSTITUTO DE FOMENTO PESQUERO</v>
      </c>
      <c r="E72" s="14" t="s">
        <v>36</v>
      </c>
      <c r="F72" s="15" t="s">
        <v>141</v>
      </c>
      <c r="G72" s="16">
        <v>16</v>
      </c>
      <c r="H72" s="18" t="s">
        <v>154</v>
      </c>
      <c r="I72" s="18" t="s">
        <v>155</v>
      </c>
      <c r="J72" s="23">
        <v>7.0866666666666669</v>
      </c>
      <c r="K72" s="26">
        <v>0.11372481406154646</v>
      </c>
      <c r="L72" s="23">
        <v>12.799999999999999</v>
      </c>
      <c r="M72" s="26">
        <v>0.10000000000000053</v>
      </c>
      <c r="N72" s="25">
        <v>316.06666666666666</v>
      </c>
      <c r="O72" s="26">
        <v>30.143047844127057</v>
      </c>
      <c r="P72" s="25">
        <v>9.9999999999999992E-2</v>
      </c>
      <c r="Q72" s="24">
        <v>9.1651513899116827E-2</v>
      </c>
      <c r="R72" s="23">
        <v>0.68352699931646799</v>
      </c>
      <c r="S72" s="46" t="s">
        <v>360</v>
      </c>
      <c r="T72" s="41">
        <v>0.70138888888888884</v>
      </c>
      <c r="U72" s="13">
        <f t="shared" si="4"/>
        <v>16</v>
      </c>
    </row>
    <row r="73" spans="1:21" x14ac:dyDescent="0.35">
      <c r="A73" t="str">
        <f t="shared" si="0"/>
        <v>ESTUDIO SEGUIMIENTO DESEMPEÑO AMBIENTAL ACUICULTURA EN CHILE Y SU EFECTO EN LOS ECOSISTEMAS DE EMPLAZAMIENTO 2023-2024</v>
      </c>
      <c r="B73" t="str">
        <f t="shared" si="1"/>
        <v>Objetivo 1. Actividad 2. Muestreos y Analisis sedimentos</v>
      </c>
      <c r="C73" t="str">
        <f t="shared" si="2"/>
        <v>Gastón Vidal</v>
      </c>
      <c r="D73" t="str">
        <f t="shared" si="3"/>
        <v>INSTITUTO DE FOMENTO PESQUERO</v>
      </c>
      <c r="E73" s="14" t="s">
        <v>36</v>
      </c>
      <c r="F73" s="15" t="s">
        <v>141</v>
      </c>
      <c r="G73" s="16">
        <v>26</v>
      </c>
      <c r="H73" s="18" t="s">
        <v>156</v>
      </c>
      <c r="I73" s="18" t="s">
        <v>157</v>
      </c>
      <c r="J73" s="23">
        <v>7.5366666666666662</v>
      </c>
      <c r="K73" s="26">
        <v>0.18876793513023696</v>
      </c>
      <c r="L73" s="23">
        <v>12.566666666666668</v>
      </c>
      <c r="M73" s="26">
        <v>0.20816659994661352</v>
      </c>
      <c r="N73" s="25">
        <v>329.23333333333329</v>
      </c>
      <c r="O73" s="26">
        <v>17.931071728520138</v>
      </c>
      <c r="P73" s="25">
        <v>20.62</v>
      </c>
      <c r="Q73" s="24">
        <v>18.230724066805465</v>
      </c>
      <c r="R73" s="23">
        <v>0.75199092679799717</v>
      </c>
      <c r="S73" s="46" t="s">
        <v>359</v>
      </c>
      <c r="T73" s="41">
        <v>0.4284722222222222</v>
      </c>
      <c r="U73" s="13">
        <f t="shared" si="4"/>
        <v>26</v>
      </c>
    </row>
    <row r="74" spans="1:21" x14ac:dyDescent="0.35">
      <c r="A74" t="str">
        <f t="shared" si="0"/>
        <v>ESTUDIO SEGUIMIENTO DESEMPEÑO AMBIENTAL ACUICULTURA EN CHILE Y SU EFECTO EN LOS ECOSISTEMAS DE EMPLAZAMIENTO 2023-2024</v>
      </c>
      <c r="B74" t="str">
        <f t="shared" si="1"/>
        <v>Objetivo 1. Actividad 2. Muestreos y Analisis sedimentos</v>
      </c>
      <c r="C74" t="str">
        <f t="shared" si="2"/>
        <v>Gastón Vidal</v>
      </c>
      <c r="D74" t="str">
        <f t="shared" si="3"/>
        <v>INSTITUTO DE FOMENTO PESQUERO</v>
      </c>
      <c r="E74" s="14" t="s">
        <v>36</v>
      </c>
      <c r="F74" s="15" t="s">
        <v>158</v>
      </c>
      <c r="G74" s="16">
        <v>1</v>
      </c>
      <c r="H74" s="18" t="s">
        <v>159</v>
      </c>
      <c r="I74" s="18" t="s">
        <v>160</v>
      </c>
      <c r="J74" s="23">
        <v>7.4766666666666666</v>
      </c>
      <c r="K74" s="26">
        <v>4.6188021535170098E-2</v>
      </c>
      <c r="L74" s="23">
        <v>12.833333333333334</v>
      </c>
      <c r="M74" s="26">
        <v>0.28867513459481292</v>
      </c>
      <c r="N74" s="25">
        <v>360.8</v>
      </c>
      <c r="O74" s="26">
        <v>16.600903589865215</v>
      </c>
      <c r="P74" s="25">
        <v>9.6433333333333344</v>
      </c>
      <c r="Q74" s="24">
        <v>16.391855701333306</v>
      </c>
      <c r="R74" s="23">
        <v>1.4336499796025639</v>
      </c>
      <c r="S74" s="46" t="s">
        <v>361</v>
      </c>
      <c r="T74" s="41">
        <v>0.55902777777777779</v>
      </c>
      <c r="U74" s="13">
        <f t="shared" si="4"/>
        <v>1</v>
      </c>
    </row>
    <row r="75" spans="1:21" x14ac:dyDescent="0.35">
      <c r="A75" t="str">
        <f t="shared" si="0"/>
        <v>ESTUDIO SEGUIMIENTO DESEMPEÑO AMBIENTAL ACUICULTURA EN CHILE Y SU EFECTO EN LOS ECOSISTEMAS DE EMPLAZAMIENTO 2023-2024</v>
      </c>
      <c r="B75" t="str">
        <f t="shared" si="1"/>
        <v>Objetivo 1. Actividad 2. Muestreos y Analisis sedimentos</v>
      </c>
      <c r="C75" t="str">
        <f t="shared" si="2"/>
        <v>Gastón Vidal</v>
      </c>
      <c r="D75" t="str">
        <f t="shared" si="3"/>
        <v>INSTITUTO DE FOMENTO PESQUERO</v>
      </c>
      <c r="E75" s="14" t="s">
        <v>36</v>
      </c>
      <c r="F75" s="15" t="s">
        <v>158</v>
      </c>
      <c r="G75" s="16">
        <v>2</v>
      </c>
      <c r="H75" s="18" t="s">
        <v>161</v>
      </c>
      <c r="I75" s="18" t="s">
        <v>162</v>
      </c>
      <c r="J75" s="23">
        <v>7.5399999999999991</v>
      </c>
      <c r="K75" s="26">
        <v>0.18681541692269413</v>
      </c>
      <c r="L75" s="23">
        <v>13.4</v>
      </c>
      <c r="M75" s="26">
        <v>0.36055512754639862</v>
      </c>
      <c r="N75" s="25">
        <v>330.16666666666669</v>
      </c>
      <c r="O75" s="26">
        <v>10.804782891540812</v>
      </c>
      <c r="P75" s="25">
        <v>0</v>
      </c>
      <c r="Q75" s="26">
        <v>0</v>
      </c>
      <c r="R75" s="23">
        <v>2.8949879978019899</v>
      </c>
      <c r="S75" s="46" t="s">
        <v>361</v>
      </c>
      <c r="T75" s="41">
        <v>0.51388888888888895</v>
      </c>
      <c r="U75" s="13">
        <f t="shared" si="4"/>
        <v>2</v>
      </c>
    </row>
    <row r="76" spans="1:21" x14ac:dyDescent="0.35">
      <c r="A76" t="str">
        <f t="shared" si="0"/>
        <v>ESTUDIO SEGUIMIENTO DESEMPEÑO AMBIENTAL ACUICULTURA EN CHILE Y SU EFECTO EN LOS ECOSISTEMAS DE EMPLAZAMIENTO 2023-2024</v>
      </c>
      <c r="B76" t="str">
        <f t="shared" si="1"/>
        <v>Objetivo 1. Actividad 2. Muestreos y Analisis sedimentos</v>
      </c>
      <c r="C76" t="str">
        <f t="shared" si="2"/>
        <v>Gastón Vidal</v>
      </c>
      <c r="D76" t="str">
        <f t="shared" si="3"/>
        <v>INSTITUTO DE FOMENTO PESQUERO</v>
      </c>
      <c r="E76" s="14" t="s">
        <v>36</v>
      </c>
      <c r="F76" s="15" t="s">
        <v>158</v>
      </c>
      <c r="G76" s="16">
        <v>3</v>
      </c>
      <c r="H76" s="18" t="s">
        <v>163</v>
      </c>
      <c r="I76" s="18" t="s">
        <v>164</v>
      </c>
      <c r="J76" s="23">
        <v>7.4333333333333336</v>
      </c>
      <c r="K76" s="26">
        <v>0.11372481406154633</v>
      </c>
      <c r="L76" s="23">
        <v>12.700000000000001</v>
      </c>
      <c r="M76" s="26">
        <v>0.26457513110645914</v>
      </c>
      <c r="N76" s="25">
        <v>295.43333333333334</v>
      </c>
      <c r="O76" s="26">
        <v>9.6717802566711395</v>
      </c>
      <c r="P76" s="25">
        <v>62.99666666666667</v>
      </c>
      <c r="Q76" s="26">
        <v>25.824678765346388</v>
      </c>
      <c r="R76" s="23">
        <v>1.0457943543445221</v>
      </c>
      <c r="S76" s="46" t="s">
        <v>361</v>
      </c>
      <c r="T76" s="41">
        <v>0.45833333333333331</v>
      </c>
      <c r="U76" s="13">
        <f t="shared" si="4"/>
        <v>3</v>
      </c>
    </row>
    <row r="77" spans="1:21" x14ac:dyDescent="0.35">
      <c r="A77" t="str">
        <f t="shared" si="0"/>
        <v>ESTUDIO SEGUIMIENTO DESEMPEÑO AMBIENTAL ACUICULTURA EN CHILE Y SU EFECTO EN LOS ECOSISTEMAS DE EMPLAZAMIENTO 2023-2024</v>
      </c>
      <c r="B77" t="str">
        <f t="shared" si="1"/>
        <v>Objetivo 1. Actividad 2. Muestreos y Analisis sedimentos</v>
      </c>
      <c r="C77" t="str">
        <f t="shared" si="2"/>
        <v>Gastón Vidal</v>
      </c>
      <c r="D77" t="str">
        <f t="shared" si="3"/>
        <v>INSTITUTO DE FOMENTO PESQUERO</v>
      </c>
      <c r="E77" s="14" t="s">
        <v>36</v>
      </c>
      <c r="F77" s="15" t="s">
        <v>158</v>
      </c>
      <c r="G77" s="16">
        <v>6</v>
      </c>
      <c r="H77" s="18" t="s">
        <v>165</v>
      </c>
      <c r="I77" s="18" t="s">
        <v>166</v>
      </c>
      <c r="J77" s="23">
        <v>7.5</v>
      </c>
      <c r="K77" s="26">
        <v>0.19287301521985883</v>
      </c>
      <c r="L77" s="23">
        <v>19.166666666666668</v>
      </c>
      <c r="M77" s="26">
        <v>10.85464570280087</v>
      </c>
      <c r="N77" s="25">
        <v>387.13333333333338</v>
      </c>
      <c r="O77" s="26">
        <v>12.460470831125656</v>
      </c>
      <c r="P77" s="25">
        <v>0</v>
      </c>
      <c r="Q77" s="24">
        <v>0</v>
      </c>
      <c r="R77" s="23">
        <v>0.68789332668705583</v>
      </c>
      <c r="S77" s="46" t="s">
        <v>361</v>
      </c>
      <c r="T77" s="41">
        <v>0.41666666666666669</v>
      </c>
      <c r="U77" s="13">
        <f t="shared" si="4"/>
        <v>6</v>
      </c>
    </row>
    <row r="78" spans="1:21" x14ac:dyDescent="0.35">
      <c r="A78" t="str">
        <f t="shared" si="0"/>
        <v>ESTUDIO SEGUIMIENTO DESEMPEÑO AMBIENTAL ACUICULTURA EN CHILE Y SU EFECTO EN LOS ECOSISTEMAS DE EMPLAZAMIENTO 2023-2024</v>
      </c>
      <c r="B78" t="str">
        <f t="shared" si="1"/>
        <v>Objetivo 1. Actividad 2. Muestreos y Analisis sedimentos</v>
      </c>
      <c r="C78" t="str">
        <f t="shared" si="2"/>
        <v>Gastón Vidal</v>
      </c>
      <c r="D78" t="str">
        <f t="shared" si="3"/>
        <v>INSTITUTO DE FOMENTO PESQUERO</v>
      </c>
      <c r="E78" s="14" t="s">
        <v>36</v>
      </c>
      <c r="F78" s="15" t="s">
        <v>167</v>
      </c>
      <c r="G78" s="16">
        <v>6</v>
      </c>
      <c r="H78" s="18" t="s">
        <v>168</v>
      </c>
      <c r="I78" s="18" t="s">
        <v>169</v>
      </c>
      <c r="J78" s="23">
        <v>7.47</v>
      </c>
      <c r="K78" s="26">
        <v>9.5393920141694344E-2</v>
      </c>
      <c r="L78" s="23">
        <v>12.433333333333332</v>
      </c>
      <c r="M78" s="26">
        <v>0.23094010767584949</v>
      </c>
      <c r="N78" s="25">
        <v>386.66666666666669</v>
      </c>
      <c r="O78" s="26">
        <v>4.5092497528228943</v>
      </c>
      <c r="P78" s="25">
        <v>0</v>
      </c>
      <c r="Q78" s="24">
        <v>0</v>
      </c>
      <c r="R78" s="23">
        <v>0.78003541928594355</v>
      </c>
      <c r="S78" s="46" t="s">
        <v>362</v>
      </c>
      <c r="T78" s="41">
        <v>0.67222222222222217</v>
      </c>
      <c r="U78" s="13">
        <f t="shared" si="4"/>
        <v>6</v>
      </c>
    </row>
    <row r="79" spans="1:21" x14ac:dyDescent="0.35">
      <c r="A79" t="str">
        <f t="shared" si="0"/>
        <v>ESTUDIO SEGUIMIENTO DESEMPEÑO AMBIENTAL ACUICULTURA EN CHILE Y SU EFECTO EN LOS ECOSISTEMAS DE EMPLAZAMIENTO 2023-2024</v>
      </c>
      <c r="B79" t="str">
        <f t="shared" si="1"/>
        <v>Objetivo 1. Actividad 2. Muestreos y Analisis sedimentos</v>
      </c>
      <c r="C79" t="str">
        <f t="shared" si="2"/>
        <v>Gastón Vidal</v>
      </c>
      <c r="D79" t="str">
        <f t="shared" si="3"/>
        <v>INSTITUTO DE FOMENTO PESQUERO</v>
      </c>
      <c r="E79" s="14" t="s">
        <v>36</v>
      </c>
      <c r="F79" s="15" t="s">
        <v>167</v>
      </c>
      <c r="G79" s="16">
        <v>8</v>
      </c>
      <c r="H79" s="18" t="s">
        <v>170</v>
      </c>
      <c r="I79" s="18" t="s">
        <v>171</v>
      </c>
      <c r="J79" s="23">
        <v>7.45</v>
      </c>
      <c r="K79" s="26">
        <v>4.3588989435406823E-2</v>
      </c>
      <c r="L79" s="23">
        <v>12.366666666666665</v>
      </c>
      <c r="M79" s="26">
        <v>0.20816659994661324</v>
      </c>
      <c r="N79" s="25">
        <v>79.63333333333334</v>
      </c>
      <c r="O79" s="26">
        <v>6.7159015279657943</v>
      </c>
      <c r="P79" s="25">
        <v>145.02333333333334</v>
      </c>
      <c r="Q79" s="26">
        <v>125.69041742843139</v>
      </c>
      <c r="R79" s="23">
        <v>9.4963404044162871</v>
      </c>
      <c r="S79" s="46" t="s">
        <v>362</v>
      </c>
      <c r="T79" s="41">
        <v>0.64444444444444449</v>
      </c>
      <c r="U79" s="13">
        <f t="shared" si="4"/>
        <v>8</v>
      </c>
    </row>
    <row r="80" spans="1:21" x14ac:dyDescent="0.35">
      <c r="A80" t="str">
        <f t="shared" si="0"/>
        <v>ESTUDIO SEGUIMIENTO DESEMPEÑO AMBIENTAL ACUICULTURA EN CHILE Y SU EFECTO EN LOS ECOSISTEMAS DE EMPLAZAMIENTO 2023-2024</v>
      </c>
      <c r="B80" t="str">
        <f t="shared" si="1"/>
        <v>Objetivo 1. Actividad 2. Muestreos y Analisis sedimentos</v>
      </c>
      <c r="C80" t="str">
        <f t="shared" si="2"/>
        <v>Gastón Vidal</v>
      </c>
      <c r="D80" t="str">
        <f t="shared" si="3"/>
        <v>INSTITUTO DE FOMENTO PESQUERO</v>
      </c>
      <c r="E80" s="14" t="s">
        <v>36</v>
      </c>
      <c r="F80" s="15" t="s">
        <v>167</v>
      </c>
      <c r="G80" s="16">
        <v>11</v>
      </c>
      <c r="H80" s="18" t="s">
        <v>172</v>
      </c>
      <c r="I80" s="18" t="s">
        <v>173</v>
      </c>
      <c r="J80" s="23">
        <v>6.8900000000000006</v>
      </c>
      <c r="K80" s="26">
        <v>0.26286878856189844</v>
      </c>
      <c r="L80" s="23">
        <v>12.233333333333334</v>
      </c>
      <c r="M80" s="26">
        <v>0.25166114784235838</v>
      </c>
      <c r="N80" s="25">
        <v>204.76666666666665</v>
      </c>
      <c r="O80" s="26">
        <v>138.86779084198517</v>
      </c>
      <c r="P80" s="25">
        <v>192.80666666666664</v>
      </c>
      <c r="Q80" s="26">
        <v>105.81206563210706</v>
      </c>
      <c r="R80" s="23">
        <v>1.2382406283842735</v>
      </c>
      <c r="S80" s="46" t="s">
        <v>362</v>
      </c>
      <c r="T80" s="41">
        <v>0.61805555555555558</v>
      </c>
      <c r="U80" s="13">
        <f t="shared" si="4"/>
        <v>11</v>
      </c>
    </row>
    <row r="81" spans="1:21" x14ac:dyDescent="0.35">
      <c r="A81" t="str">
        <f t="shared" si="0"/>
        <v>ESTUDIO SEGUIMIENTO DESEMPEÑO AMBIENTAL ACUICULTURA EN CHILE Y SU EFECTO EN LOS ECOSISTEMAS DE EMPLAZAMIENTO 2023-2024</v>
      </c>
      <c r="B81" t="str">
        <f t="shared" si="1"/>
        <v>Objetivo 1. Actividad 2. Muestreos y Analisis sedimentos</v>
      </c>
      <c r="C81" t="str">
        <f t="shared" si="2"/>
        <v>Gastón Vidal</v>
      </c>
      <c r="D81" t="str">
        <f t="shared" si="3"/>
        <v>INSTITUTO DE FOMENTO PESQUERO</v>
      </c>
      <c r="E81" s="14" t="s">
        <v>36</v>
      </c>
      <c r="F81" s="15" t="s">
        <v>167</v>
      </c>
      <c r="G81" s="16">
        <v>12</v>
      </c>
      <c r="H81" s="18" t="s">
        <v>174</v>
      </c>
      <c r="I81" s="18" t="s">
        <v>175</v>
      </c>
      <c r="J81" s="23">
        <v>7.4766666666666666</v>
      </c>
      <c r="K81" s="26">
        <v>0.21031722072463138</v>
      </c>
      <c r="L81" s="23">
        <v>11.933333333333332</v>
      </c>
      <c r="M81" s="26">
        <v>0.30550504633038922</v>
      </c>
      <c r="N81" s="25">
        <v>130.66666666666666</v>
      </c>
      <c r="O81" s="26">
        <v>56.563798788035207</v>
      </c>
      <c r="P81" s="25">
        <v>227.76</v>
      </c>
      <c r="Q81" s="26">
        <v>159.01320322539263</v>
      </c>
      <c r="R81" s="23">
        <v>1.0753373982702623</v>
      </c>
      <c r="S81" s="46" t="s">
        <v>362</v>
      </c>
      <c r="T81" s="41">
        <v>0.70833333333333337</v>
      </c>
      <c r="U81" s="13">
        <f t="shared" si="4"/>
        <v>12</v>
      </c>
    </row>
    <row r="82" spans="1:21" x14ac:dyDescent="0.35">
      <c r="A82" t="str">
        <f t="shared" ref="A82:A145" si="5">$B$1</f>
        <v>ESTUDIO SEGUIMIENTO DESEMPEÑO AMBIENTAL ACUICULTURA EN CHILE Y SU EFECTO EN LOS ECOSISTEMAS DE EMPLAZAMIENTO 2023-2024</v>
      </c>
      <c r="B82" t="str">
        <f t="shared" ref="B82:B145" si="6">$B$2</f>
        <v>Objetivo 1. Actividad 2. Muestreos y Analisis sedimentos</v>
      </c>
      <c r="C82" t="str">
        <f t="shared" ref="C82:C145" si="7">$B$3</f>
        <v>Gastón Vidal</v>
      </c>
      <c r="D82" t="str">
        <f t="shared" ref="D82:D145" si="8">$B$4</f>
        <v>INSTITUTO DE FOMENTO PESQUERO</v>
      </c>
      <c r="E82" s="14" t="s">
        <v>36</v>
      </c>
      <c r="F82" s="15" t="s">
        <v>167</v>
      </c>
      <c r="G82" s="16">
        <v>13</v>
      </c>
      <c r="H82" s="18" t="s">
        <v>176</v>
      </c>
      <c r="I82" s="18" t="s">
        <v>177</v>
      </c>
      <c r="J82" s="23">
        <v>7.0666666666666664</v>
      </c>
      <c r="K82" s="26">
        <v>0.11676186592091303</v>
      </c>
      <c r="L82" s="23">
        <v>12.5</v>
      </c>
      <c r="M82" s="26">
        <v>0.26457513110645914</v>
      </c>
      <c r="N82" s="25">
        <v>116.2</v>
      </c>
      <c r="O82" s="26">
        <v>139.87240614216941</v>
      </c>
      <c r="P82" s="25">
        <v>156.68666666666667</v>
      </c>
      <c r="Q82" s="26">
        <v>87.787947540270764</v>
      </c>
      <c r="R82" s="23">
        <v>1.2790552966717066</v>
      </c>
      <c r="S82" s="46" t="s">
        <v>363</v>
      </c>
      <c r="T82" s="41">
        <v>0.63194444444444442</v>
      </c>
      <c r="U82" s="13">
        <f t="shared" ref="U82:U145" si="9">G82</f>
        <v>13</v>
      </c>
    </row>
    <row r="83" spans="1:21" x14ac:dyDescent="0.35">
      <c r="A83" t="str">
        <f t="shared" si="5"/>
        <v>ESTUDIO SEGUIMIENTO DESEMPEÑO AMBIENTAL ACUICULTURA EN CHILE Y SU EFECTO EN LOS ECOSISTEMAS DE EMPLAZAMIENTO 2023-2024</v>
      </c>
      <c r="B83" t="str">
        <f t="shared" si="6"/>
        <v>Objetivo 1. Actividad 2. Muestreos y Analisis sedimentos</v>
      </c>
      <c r="C83" t="str">
        <f t="shared" si="7"/>
        <v>Gastón Vidal</v>
      </c>
      <c r="D83" t="str">
        <f t="shared" si="8"/>
        <v>INSTITUTO DE FOMENTO PESQUERO</v>
      </c>
      <c r="E83" s="14" t="s">
        <v>36</v>
      </c>
      <c r="F83" s="15" t="s">
        <v>167</v>
      </c>
      <c r="G83" s="16">
        <v>19</v>
      </c>
      <c r="H83" s="18" t="s">
        <v>178</v>
      </c>
      <c r="I83" s="18" t="s">
        <v>179</v>
      </c>
      <c r="J83" s="23">
        <v>7.2366666666666672</v>
      </c>
      <c r="K83" s="26">
        <v>7.5718777944003363E-2</v>
      </c>
      <c r="L83" s="23">
        <v>12.333333333333334</v>
      </c>
      <c r="M83" s="26">
        <v>0.32145502536643167</v>
      </c>
      <c r="N83" s="25">
        <v>305.7</v>
      </c>
      <c r="O83" s="26">
        <v>12.593252161375947</v>
      </c>
      <c r="P83" s="25">
        <v>34.909999999999997</v>
      </c>
      <c r="Q83" s="24">
        <v>59.678695528639018</v>
      </c>
      <c r="R83" s="23">
        <v>1.2524456801565313</v>
      </c>
      <c r="S83" s="40">
        <v>45035</v>
      </c>
      <c r="T83" s="41">
        <v>0.5229166666666667</v>
      </c>
      <c r="U83" s="13">
        <f t="shared" si="9"/>
        <v>19</v>
      </c>
    </row>
    <row r="84" spans="1:21" x14ac:dyDescent="0.35">
      <c r="A84" t="str">
        <f t="shared" si="5"/>
        <v>ESTUDIO SEGUIMIENTO DESEMPEÑO AMBIENTAL ACUICULTURA EN CHILE Y SU EFECTO EN LOS ECOSISTEMAS DE EMPLAZAMIENTO 2023-2024</v>
      </c>
      <c r="B84" t="str">
        <f t="shared" si="6"/>
        <v>Objetivo 1. Actividad 2. Muestreos y Analisis sedimentos</v>
      </c>
      <c r="C84" t="str">
        <f t="shared" si="7"/>
        <v>Gastón Vidal</v>
      </c>
      <c r="D84" t="str">
        <f t="shared" si="8"/>
        <v>INSTITUTO DE FOMENTO PESQUERO</v>
      </c>
      <c r="E84" s="14" t="s">
        <v>36</v>
      </c>
      <c r="F84" s="15" t="s">
        <v>167</v>
      </c>
      <c r="G84" s="16">
        <v>21</v>
      </c>
      <c r="H84" s="18" t="s">
        <v>180</v>
      </c>
      <c r="I84" s="18" t="s">
        <v>181</v>
      </c>
      <c r="J84" s="23">
        <v>7.0633333333333326</v>
      </c>
      <c r="K84" s="26">
        <v>0.12220201853215584</v>
      </c>
      <c r="L84" s="23">
        <v>12.233333333333334</v>
      </c>
      <c r="M84" s="26">
        <v>0.64291005073286334</v>
      </c>
      <c r="N84" s="25">
        <v>157.03333333333333</v>
      </c>
      <c r="O84" s="26">
        <v>13.200126262022383</v>
      </c>
      <c r="P84" s="25">
        <v>807.56666666666661</v>
      </c>
      <c r="Q84" s="24">
        <v>826.02444336310862</v>
      </c>
      <c r="R84" s="23">
        <v>1.1259637251095818</v>
      </c>
      <c r="S84" s="46" t="s">
        <v>363</v>
      </c>
      <c r="T84" s="41">
        <v>0.54583333333333328</v>
      </c>
      <c r="U84" s="13">
        <f t="shared" si="9"/>
        <v>21</v>
      </c>
    </row>
    <row r="85" spans="1:21" x14ac:dyDescent="0.35">
      <c r="A85" t="str">
        <f t="shared" si="5"/>
        <v>ESTUDIO SEGUIMIENTO DESEMPEÑO AMBIENTAL ACUICULTURA EN CHILE Y SU EFECTO EN LOS ECOSISTEMAS DE EMPLAZAMIENTO 2023-2024</v>
      </c>
      <c r="B85" t="str">
        <f t="shared" si="6"/>
        <v>Objetivo 1. Actividad 2. Muestreos y Analisis sedimentos</v>
      </c>
      <c r="C85" t="str">
        <f t="shared" si="7"/>
        <v>Gastón Vidal</v>
      </c>
      <c r="D85" t="str">
        <f t="shared" si="8"/>
        <v>INSTITUTO DE FOMENTO PESQUERO</v>
      </c>
      <c r="E85" s="14" t="s">
        <v>36</v>
      </c>
      <c r="F85" s="15" t="s">
        <v>167</v>
      </c>
      <c r="G85" s="16">
        <v>22</v>
      </c>
      <c r="H85" s="18" t="s">
        <v>182</v>
      </c>
      <c r="I85" s="18" t="s">
        <v>183</v>
      </c>
      <c r="J85" s="23">
        <v>7.3666666666666671</v>
      </c>
      <c r="K85" s="26">
        <v>0.1193035344544887</v>
      </c>
      <c r="L85" s="23">
        <v>12.733333333333333</v>
      </c>
      <c r="M85" s="26">
        <v>0.15275252316519508</v>
      </c>
      <c r="N85" s="25">
        <v>354.33333333333331</v>
      </c>
      <c r="O85" s="26">
        <v>23.818550193774048</v>
      </c>
      <c r="P85" s="25">
        <v>0.15</v>
      </c>
      <c r="Q85" s="24">
        <v>0.25980762113533162</v>
      </c>
      <c r="R85" s="23">
        <v>1.1447840070273867</v>
      </c>
      <c r="S85" s="46" t="s">
        <v>363</v>
      </c>
      <c r="T85" s="41">
        <v>0.5</v>
      </c>
      <c r="U85" s="13">
        <f t="shared" si="9"/>
        <v>22</v>
      </c>
    </row>
    <row r="86" spans="1:21" x14ac:dyDescent="0.35">
      <c r="A86" t="str">
        <f t="shared" si="5"/>
        <v>ESTUDIO SEGUIMIENTO DESEMPEÑO AMBIENTAL ACUICULTURA EN CHILE Y SU EFECTO EN LOS ECOSISTEMAS DE EMPLAZAMIENTO 2023-2024</v>
      </c>
      <c r="B86" t="str">
        <f t="shared" si="6"/>
        <v>Objetivo 1. Actividad 2. Muestreos y Analisis sedimentos</v>
      </c>
      <c r="C86" t="str">
        <f t="shared" si="7"/>
        <v>Gastón Vidal</v>
      </c>
      <c r="D86" t="str">
        <f t="shared" si="8"/>
        <v>INSTITUTO DE FOMENTO PESQUERO</v>
      </c>
      <c r="E86" s="14" t="s">
        <v>36</v>
      </c>
      <c r="F86" s="15" t="s">
        <v>167</v>
      </c>
      <c r="G86" s="16">
        <v>26</v>
      </c>
      <c r="H86" s="18" t="s">
        <v>184</v>
      </c>
      <c r="I86" s="18" t="s">
        <v>185</v>
      </c>
      <c r="J86" s="23">
        <v>7.3466666666666667</v>
      </c>
      <c r="K86" s="26">
        <v>8.504900548115378E-2</v>
      </c>
      <c r="L86" s="23">
        <v>12.233333333333334</v>
      </c>
      <c r="M86" s="26">
        <v>0.35118845842842428</v>
      </c>
      <c r="N86" s="25">
        <v>322.33333333333331</v>
      </c>
      <c r="O86" s="26">
        <v>6.7114330312782711</v>
      </c>
      <c r="P86" s="25">
        <v>23.626666666666665</v>
      </c>
      <c r="Q86" s="26">
        <v>11.391849425503022</v>
      </c>
      <c r="R86" s="23">
        <v>2.9498717802133485</v>
      </c>
      <c r="S86" s="46" t="s">
        <v>363</v>
      </c>
      <c r="T86" s="41">
        <v>0.44444444444444442</v>
      </c>
      <c r="U86" s="13">
        <f t="shared" si="9"/>
        <v>26</v>
      </c>
    </row>
    <row r="87" spans="1:21" x14ac:dyDescent="0.35">
      <c r="A87" t="str">
        <f t="shared" si="5"/>
        <v>ESTUDIO SEGUIMIENTO DESEMPEÑO AMBIENTAL ACUICULTURA EN CHILE Y SU EFECTO EN LOS ECOSISTEMAS DE EMPLAZAMIENTO 2023-2024</v>
      </c>
      <c r="B87" t="str">
        <f t="shared" si="6"/>
        <v>Objetivo 1. Actividad 2. Muestreos y Analisis sedimentos</v>
      </c>
      <c r="C87" t="str">
        <f t="shared" si="7"/>
        <v>Gastón Vidal</v>
      </c>
      <c r="D87" t="str">
        <f t="shared" si="8"/>
        <v>INSTITUTO DE FOMENTO PESQUERO</v>
      </c>
      <c r="E87" s="14" t="s">
        <v>36</v>
      </c>
      <c r="F87" s="15" t="s">
        <v>167</v>
      </c>
      <c r="G87" s="16">
        <v>28</v>
      </c>
      <c r="H87" s="18" t="s">
        <v>186</v>
      </c>
      <c r="I87" s="18" t="s">
        <v>187</v>
      </c>
      <c r="J87" s="23">
        <v>7.3033333333333337</v>
      </c>
      <c r="K87" s="26">
        <v>0.10263202878893735</v>
      </c>
      <c r="L87" s="23">
        <v>12.466666666666667</v>
      </c>
      <c r="M87" s="26">
        <v>0.25166114784235838</v>
      </c>
      <c r="N87" s="25">
        <v>310.93333333333334</v>
      </c>
      <c r="O87" s="26">
        <v>47.038530305838876</v>
      </c>
      <c r="P87" s="25">
        <v>4.7666666666666666</v>
      </c>
      <c r="Q87" s="24">
        <v>3.7563324311532034</v>
      </c>
      <c r="R87" s="23">
        <v>1.4801144456692985</v>
      </c>
      <c r="S87" s="46" t="s">
        <v>363</v>
      </c>
      <c r="T87" s="41">
        <v>0.36805555555555558</v>
      </c>
      <c r="U87" s="13">
        <f t="shared" si="9"/>
        <v>28</v>
      </c>
    </row>
    <row r="88" spans="1:21" x14ac:dyDescent="0.35">
      <c r="A88" t="str">
        <f t="shared" si="5"/>
        <v>ESTUDIO SEGUIMIENTO DESEMPEÑO AMBIENTAL ACUICULTURA EN CHILE Y SU EFECTO EN LOS ECOSISTEMAS DE EMPLAZAMIENTO 2023-2024</v>
      </c>
      <c r="B88" t="str">
        <f t="shared" si="6"/>
        <v>Objetivo 1. Actividad 2. Muestreos y Analisis sedimentos</v>
      </c>
      <c r="C88" t="str">
        <f t="shared" si="7"/>
        <v>Gastón Vidal</v>
      </c>
      <c r="D88" t="str">
        <f t="shared" si="8"/>
        <v>INSTITUTO DE FOMENTO PESQUERO</v>
      </c>
      <c r="E88" s="14" t="s">
        <v>36</v>
      </c>
      <c r="F88" s="15" t="s">
        <v>167</v>
      </c>
      <c r="G88" s="16">
        <v>32</v>
      </c>
      <c r="H88" s="18" t="s">
        <v>188</v>
      </c>
      <c r="I88" s="18" t="s">
        <v>189</v>
      </c>
      <c r="J88" s="23">
        <v>7.2</v>
      </c>
      <c r="K88" s="26">
        <v>9.8488578017961292E-2</v>
      </c>
      <c r="L88" s="23">
        <v>12.233333333333334</v>
      </c>
      <c r="M88" s="26">
        <v>0.45092497528228875</v>
      </c>
      <c r="N88" s="25">
        <v>153.03333333333333</v>
      </c>
      <c r="O88" s="26">
        <v>47.489086465558863</v>
      </c>
      <c r="P88" s="25">
        <v>272.60999999999996</v>
      </c>
      <c r="Q88" s="26">
        <v>176.5994340308032</v>
      </c>
      <c r="R88" s="23">
        <v>3.6164383561643718</v>
      </c>
      <c r="S88" s="46" t="s">
        <v>363</v>
      </c>
      <c r="T88" s="41">
        <v>0.4145833333333333</v>
      </c>
      <c r="U88" s="13">
        <f t="shared" si="9"/>
        <v>32</v>
      </c>
    </row>
    <row r="89" spans="1:21" x14ac:dyDescent="0.35">
      <c r="A89" t="str">
        <f t="shared" si="5"/>
        <v>ESTUDIO SEGUIMIENTO DESEMPEÑO AMBIENTAL ACUICULTURA EN CHILE Y SU EFECTO EN LOS ECOSISTEMAS DE EMPLAZAMIENTO 2023-2024</v>
      </c>
      <c r="B89" t="str">
        <f t="shared" si="6"/>
        <v>Objetivo 1. Actividad 2. Muestreos y Analisis sedimentos</v>
      </c>
      <c r="C89" t="str">
        <f t="shared" si="7"/>
        <v>Gastón Vidal</v>
      </c>
      <c r="D89" t="str">
        <f t="shared" si="8"/>
        <v>INSTITUTO DE FOMENTO PESQUERO</v>
      </c>
      <c r="E89" s="14" t="s">
        <v>36</v>
      </c>
      <c r="F89" s="15" t="s">
        <v>167</v>
      </c>
      <c r="G89" s="20">
        <v>39</v>
      </c>
      <c r="H89" s="21" t="s">
        <v>190</v>
      </c>
      <c r="I89" s="21" t="s">
        <v>191</v>
      </c>
      <c r="J89" s="27">
        <v>7.5766666666666653</v>
      </c>
      <c r="K89" s="28">
        <v>0.23755701070129093</v>
      </c>
      <c r="L89" s="27">
        <v>13.133333333333335</v>
      </c>
      <c r="M89" s="28">
        <v>0.35118845842842428</v>
      </c>
      <c r="N89" s="29">
        <v>412.83333333333331</v>
      </c>
      <c r="O89" s="28">
        <v>6.3437633415295061</v>
      </c>
      <c r="P89" s="29">
        <v>3.3333333333333335E-3</v>
      </c>
      <c r="Q89" s="30">
        <v>5.773502691896258E-3</v>
      </c>
      <c r="R89" s="27">
        <v>0.90260988159445621</v>
      </c>
      <c r="S89" s="47">
        <v>45035</v>
      </c>
      <c r="T89" s="43">
        <v>0.34027777777777773</v>
      </c>
      <c r="U89" s="13">
        <f t="shared" si="9"/>
        <v>39</v>
      </c>
    </row>
    <row r="90" spans="1:21" x14ac:dyDescent="0.35">
      <c r="A90" t="str">
        <f t="shared" si="5"/>
        <v>ESTUDIO SEGUIMIENTO DESEMPEÑO AMBIENTAL ACUICULTURA EN CHILE Y SU EFECTO EN LOS ECOSISTEMAS DE EMPLAZAMIENTO 2023-2024</v>
      </c>
      <c r="B90" t="str">
        <f t="shared" si="6"/>
        <v>Objetivo 1. Actividad 2. Muestreos y Analisis sedimentos</v>
      </c>
      <c r="C90" t="str">
        <f t="shared" si="7"/>
        <v>Gastón Vidal</v>
      </c>
      <c r="D90" t="str">
        <f t="shared" si="8"/>
        <v>INSTITUTO DE FOMENTO PESQUERO</v>
      </c>
      <c r="E90" s="14" t="s">
        <v>36</v>
      </c>
      <c r="F90" s="15" t="s">
        <v>192</v>
      </c>
      <c r="G90" s="16">
        <v>3</v>
      </c>
      <c r="H90" s="18" t="s">
        <v>193</v>
      </c>
      <c r="I90" s="18" t="s">
        <v>194</v>
      </c>
      <c r="J90" s="23">
        <v>7.3733333333333322</v>
      </c>
      <c r="K90" s="26">
        <v>7.7674534651540492E-2</v>
      </c>
      <c r="L90" s="23">
        <v>12.666666666666666</v>
      </c>
      <c r="M90" s="26">
        <v>0.40414518843273756</v>
      </c>
      <c r="N90" s="25">
        <v>150.66666666666669</v>
      </c>
      <c r="O90" s="26">
        <v>14.705554506149481</v>
      </c>
      <c r="P90" s="25">
        <v>91.023333333333326</v>
      </c>
      <c r="Q90" s="24">
        <v>21.817301238543045</v>
      </c>
      <c r="R90" s="23">
        <v>2.9087508613052289</v>
      </c>
      <c r="S90" s="40" t="s">
        <v>354</v>
      </c>
      <c r="T90" s="41">
        <v>0.2986111111111111</v>
      </c>
      <c r="U90" s="13">
        <f t="shared" si="9"/>
        <v>3</v>
      </c>
    </row>
    <row r="91" spans="1:21" x14ac:dyDescent="0.35">
      <c r="A91" t="str">
        <f t="shared" si="5"/>
        <v>ESTUDIO SEGUIMIENTO DESEMPEÑO AMBIENTAL ACUICULTURA EN CHILE Y SU EFECTO EN LOS ECOSISTEMAS DE EMPLAZAMIENTO 2023-2024</v>
      </c>
      <c r="B91" t="str">
        <f t="shared" si="6"/>
        <v>Objetivo 1. Actividad 2. Muestreos y Analisis sedimentos</v>
      </c>
      <c r="C91" t="str">
        <f t="shared" si="7"/>
        <v>Gastón Vidal</v>
      </c>
      <c r="D91" t="str">
        <f t="shared" si="8"/>
        <v>INSTITUTO DE FOMENTO PESQUERO</v>
      </c>
      <c r="E91" s="14" t="s">
        <v>36</v>
      </c>
      <c r="F91" s="15" t="s">
        <v>192</v>
      </c>
      <c r="G91" s="16">
        <v>6</v>
      </c>
      <c r="H91" s="18" t="s">
        <v>195</v>
      </c>
      <c r="I91" s="18" t="s">
        <v>196</v>
      </c>
      <c r="J91" s="23">
        <v>7.4733333333333327</v>
      </c>
      <c r="K91" s="26">
        <v>9.5043849529221888E-2</v>
      </c>
      <c r="L91" s="23">
        <v>12.366666666666667</v>
      </c>
      <c r="M91" s="26">
        <v>0.15275252316519508</v>
      </c>
      <c r="N91" s="25">
        <v>203.70000000000002</v>
      </c>
      <c r="O91" s="26">
        <v>62.239296268515204</v>
      </c>
      <c r="P91" s="25">
        <v>84.166666666666671</v>
      </c>
      <c r="Q91" s="24">
        <v>89.076673340068865</v>
      </c>
      <c r="R91" s="23">
        <v>1.6024520743150497</v>
      </c>
      <c r="S91" s="40" t="s">
        <v>354</v>
      </c>
      <c r="T91" s="41">
        <v>0.3576388888888889</v>
      </c>
      <c r="U91" s="13">
        <f t="shared" si="9"/>
        <v>6</v>
      </c>
    </row>
    <row r="92" spans="1:21" x14ac:dyDescent="0.35">
      <c r="A92" t="str">
        <f t="shared" si="5"/>
        <v>ESTUDIO SEGUIMIENTO DESEMPEÑO AMBIENTAL ACUICULTURA EN CHILE Y SU EFECTO EN LOS ECOSISTEMAS DE EMPLAZAMIENTO 2023-2024</v>
      </c>
      <c r="B92" t="str">
        <f t="shared" si="6"/>
        <v>Objetivo 1. Actividad 2. Muestreos y Analisis sedimentos</v>
      </c>
      <c r="C92" t="str">
        <f t="shared" si="7"/>
        <v>Gastón Vidal</v>
      </c>
      <c r="D92" t="str">
        <f t="shared" si="8"/>
        <v>INSTITUTO DE FOMENTO PESQUERO</v>
      </c>
      <c r="E92" s="14" t="s">
        <v>36</v>
      </c>
      <c r="F92" s="15" t="s">
        <v>192</v>
      </c>
      <c r="G92" s="16">
        <v>7</v>
      </c>
      <c r="H92" s="18" t="s">
        <v>197</v>
      </c>
      <c r="I92" s="18" t="s">
        <v>198</v>
      </c>
      <c r="J92" s="23">
        <v>7.4666666666666659</v>
      </c>
      <c r="K92" s="26">
        <v>5.7735026918961348E-3</v>
      </c>
      <c r="L92" s="23">
        <v>12.433333333333332</v>
      </c>
      <c r="M92" s="26">
        <v>0.25166114784235827</v>
      </c>
      <c r="N92" s="25">
        <v>180.16666666666666</v>
      </c>
      <c r="O92" s="26">
        <v>22.241927374518117</v>
      </c>
      <c r="P92" s="25">
        <v>126.88</v>
      </c>
      <c r="Q92" s="24">
        <v>47.386103448162991</v>
      </c>
      <c r="R92" s="23">
        <v>1.6096504332237904</v>
      </c>
      <c r="S92" s="40" t="s">
        <v>354</v>
      </c>
      <c r="T92" s="41">
        <v>0.3347222222222222</v>
      </c>
      <c r="U92" s="13">
        <f t="shared" si="9"/>
        <v>7</v>
      </c>
    </row>
    <row r="93" spans="1:21" x14ac:dyDescent="0.35">
      <c r="A93" t="str">
        <f t="shared" si="5"/>
        <v>ESTUDIO SEGUIMIENTO DESEMPEÑO AMBIENTAL ACUICULTURA EN CHILE Y SU EFECTO EN LOS ECOSISTEMAS DE EMPLAZAMIENTO 2023-2024</v>
      </c>
      <c r="B93" t="str">
        <f t="shared" si="6"/>
        <v>Objetivo 1. Actividad 2. Muestreos y Analisis sedimentos</v>
      </c>
      <c r="C93" t="str">
        <f t="shared" si="7"/>
        <v>Gastón Vidal</v>
      </c>
      <c r="D93" t="str">
        <f t="shared" si="8"/>
        <v>INSTITUTO DE FOMENTO PESQUERO</v>
      </c>
      <c r="E93" s="14" t="s">
        <v>36</v>
      </c>
      <c r="F93" s="15" t="s">
        <v>192</v>
      </c>
      <c r="G93" s="16">
        <v>13</v>
      </c>
      <c r="H93" s="18" t="s">
        <v>199</v>
      </c>
      <c r="I93" s="18" t="s">
        <v>200</v>
      </c>
      <c r="J93" s="23" t="s">
        <v>351</v>
      </c>
      <c r="K93" s="23" t="s">
        <v>351</v>
      </c>
      <c r="L93" s="23" t="s">
        <v>351</v>
      </c>
      <c r="M93" s="23" t="s">
        <v>351</v>
      </c>
      <c r="N93" s="23" t="s">
        <v>351</v>
      </c>
      <c r="O93" s="23" t="s">
        <v>351</v>
      </c>
      <c r="P93" s="23" t="s">
        <v>351</v>
      </c>
      <c r="Q93" s="23" t="s">
        <v>351</v>
      </c>
      <c r="R93" s="23" t="s">
        <v>351</v>
      </c>
      <c r="S93" s="48" t="s">
        <v>351</v>
      </c>
      <c r="T93" s="48" t="s">
        <v>351</v>
      </c>
      <c r="U93" s="13">
        <f t="shared" si="9"/>
        <v>13</v>
      </c>
    </row>
    <row r="94" spans="1:21" x14ac:dyDescent="0.35">
      <c r="A94" t="str">
        <f t="shared" si="5"/>
        <v>ESTUDIO SEGUIMIENTO DESEMPEÑO AMBIENTAL ACUICULTURA EN CHILE Y SU EFECTO EN LOS ECOSISTEMAS DE EMPLAZAMIENTO 2023-2024</v>
      </c>
      <c r="B94" t="str">
        <f t="shared" si="6"/>
        <v>Objetivo 1. Actividad 2. Muestreos y Analisis sedimentos</v>
      </c>
      <c r="C94" t="str">
        <f t="shared" si="7"/>
        <v>Gastón Vidal</v>
      </c>
      <c r="D94" t="str">
        <f t="shared" si="8"/>
        <v>INSTITUTO DE FOMENTO PESQUERO</v>
      </c>
      <c r="E94" s="14" t="s">
        <v>36</v>
      </c>
      <c r="F94" s="15" t="s">
        <v>192</v>
      </c>
      <c r="G94" s="16">
        <v>14</v>
      </c>
      <c r="H94" s="18" t="s">
        <v>201</v>
      </c>
      <c r="I94" s="18" t="s">
        <v>202</v>
      </c>
      <c r="J94" s="23">
        <v>7.38</v>
      </c>
      <c r="K94" s="26">
        <v>0.20880613017821115</v>
      </c>
      <c r="L94" s="23">
        <v>13.266666666666666</v>
      </c>
      <c r="M94" s="26">
        <v>0.35118845842842428</v>
      </c>
      <c r="N94" s="25">
        <v>263.96666666666664</v>
      </c>
      <c r="O94" s="26">
        <v>31.900208985731322</v>
      </c>
      <c r="P94" s="25">
        <v>71.406666666666666</v>
      </c>
      <c r="Q94" s="24">
        <v>32.129115041241555</v>
      </c>
      <c r="R94" s="23">
        <v>0.85045892920605459</v>
      </c>
      <c r="S94" s="40" t="s">
        <v>364</v>
      </c>
      <c r="T94" s="41">
        <v>0.72222222222222221</v>
      </c>
      <c r="U94" s="13">
        <f t="shared" si="9"/>
        <v>14</v>
      </c>
    </row>
    <row r="95" spans="1:21" x14ac:dyDescent="0.35">
      <c r="A95" t="str">
        <f t="shared" si="5"/>
        <v>ESTUDIO SEGUIMIENTO DESEMPEÑO AMBIENTAL ACUICULTURA EN CHILE Y SU EFECTO EN LOS ECOSISTEMAS DE EMPLAZAMIENTO 2023-2024</v>
      </c>
      <c r="B95" t="str">
        <f t="shared" si="6"/>
        <v>Objetivo 1. Actividad 2. Muestreos y Analisis sedimentos</v>
      </c>
      <c r="C95" t="str">
        <f t="shared" si="7"/>
        <v>Gastón Vidal</v>
      </c>
      <c r="D95" t="str">
        <f t="shared" si="8"/>
        <v>INSTITUTO DE FOMENTO PESQUERO</v>
      </c>
      <c r="E95" s="14" t="s">
        <v>36</v>
      </c>
      <c r="F95" s="15" t="s">
        <v>203</v>
      </c>
      <c r="G95" s="16">
        <v>1</v>
      </c>
      <c r="H95" s="18" t="s">
        <v>204</v>
      </c>
      <c r="I95" s="18" t="s">
        <v>205</v>
      </c>
      <c r="J95" s="23">
        <v>7.2233333333333336</v>
      </c>
      <c r="K95" s="26">
        <v>2.0816659994661382E-2</v>
      </c>
      <c r="L95" s="23">
        <v>13.299999999999999</v>
      </c>
      <c r="M95" s="26">
        <v>0.29999999999999982</v>
      </c>
      <c r="N95" s="25">
        <v>336.06666666666666</v>
      </c>
      <c r="O95" s="26">
        <v>7.5639495855890875</v>
      </c>
      <c r="P95" s="25">
        <v>29.823333333333334</v>
      </c>
      <c r="Q95" s="24">
        <v>20.315957603158495</v>
      </c>
      <c r="R95" s="23">
        <v>1.2835659258165166</v>
      </c>
      <c r="S95" s="40" t="s">
        <v>364</v>
      </c>
      <c r="T95" s="41">
        <v>0.52430555555555558</v>
      </c>
      <c r="U95" s="13">
        <f t="shared" si="9"/>
        <v>1</v>
      </c>
    </row>
    <row r="96" spans="1:21" x14ac:dyDescent="0.35">
      <c r="A96" t="str">
        <f t="shared" si="5"/>
        <v>ESTUDIO SEGUIMIENTO DESEMPEÑO AMBIENTAL ACUICULTURA EN CHILE Y SU EFECTO EN LOS ECOSISTEMAS DE EMPLAZAMIENTO 2023-2024</v>
      </c>
      <c r="B96" t="str">
        <f t="shared" si="6"/>
        <v>Objetivo 1. Actividad 2. Muestreos y Analisis sedimentos</v>
      </c>
      <c r="C96" t="str">
        <f t="shared" si="7"/>
        <v>Gastón Vidal</v>
      </c>
      <c r="D96" t="str">
        <f t="shared" si="8"/>
        <v>INSTITUTO DE FOMENTO PESQUERO</v>
      </c>
      <c r="E96" s="14" t="s">
        <v>36</v>
      </c>
      <c r="F96" s="15" t="s">
        <v>203</v>
      </c>
      <c r="G96" s="16">
        <v>2</v>
      </c>
      <c r="H96" s="18" t="s">
        <v>206</v>
      </c>
      <c r="I96" s="18" t="s">
        <v>207</v>
      </c>
      <c r="J96" s="23">
        <v>7.2666666666666666</v>
      </c>
      <c r="K96" s="26">
        <v>6.4291005073286334E-2</v>
      </c>
      <c r="L96" s="23">
        <v>14.033333333333331</v>
      </c>
      <c r="M96" s="26">
        <v>0.20816659994661252</v>
      </c>
      <c r="N96" s="25">
        <v>302.76666666666665</v>
      </c>
      <c r="O96" s="26">
        <v>37.186198156484515</v>
      </c>
      <c r="P96" s="25">
        <v>15.196666666666667</v>
      </c>
      <c r="Q96" s="24">
        <v>5.2727349007259248</v>
      </c>
      <c r="R96" s="23">
        <v>1.6603233121593421</v>
      </c>
      <c r="S96" s="40" t="s">
        <v>364</v>
      </c>
      <c r="T96" s="41">
        <v>0.47916666666666669</v>
      </c>
      <c r="U96" s="13">
        <f t="shared" si="9"/>
        <v>2</v>
      </c>
    </row>
    <row r="97" spans="1:21" x14ac:dyDescent="0.35">
      <c r="A97" t="str">
        <f t="shared" si="5"/>
        <v>ESTUDIO SEGUIMIENTO DESEMPEÑO AMBIENTAL ACUICULTURA EN CHILE Y SU EFECTO EN LOS ECOSISTEMAS DE EMPLAZAMIENTO 2023-2024</v>
      </c>
      <c r="B97" t="str">
        <f t="shared" si="6"/>
        <v>Objetivo 1. Actividad 2. Muestreos y Analisis sedimentos</v>
      </c>
      <c r="C97" t="str">
        <f t="shared" si="7"/>
        <v>Gastón Vidal</v>
      </c>
      <c r="D97" t="str">
        <f t="shared" si="8"/>
        <v>INSTITUTO DE FOMENTO PESQUERO</v>
      </c>
      <c r="E97" s="14" t="s">
        <v>36</v>
      </c>
      <c r="F97" s="15" t="s">
        <v>203</v>
      </c>
      <c r="G97" s="16">
        <v>3</v>
      </c>
      <c r="H97" s="18" t="s">
        <v>208</v>
      </c>
      <c r="I97" s="18" t="s">
        <v>209</v>
      </c>
      <c r="J97" s="23">
        <v>7.2433333333333332</v>
      </c>
      <c r="K97" s="26">
        <v>1.5275252316519142E-2</v>
      </c>
      <c r="L97" s="23">
        <v>12.9</v>
      </c>
      <c r="M97" s="26">
        <v>0.43588989435406783</v>
      </c>
      <c r="N97" s="25">
        <v>122.63333333333333</v>
      </c>
      <c r="O97" s="26">
        <v>18.007313329126578</v>
      </c>
      <c r="P97" s="25">
        <v>118.13333333333333</v>
      </c>
      <c r="Q97" s="24">
        <v>47.72722737948785</v>
      </c>
      <c r="R97" s="23">
        <v>1.0475203229854146</v>
      </c>
      <c r="S97" s="40" t="s">
        <v>364</v>
      </c>
      <c r="T97" s="41">
        <v>0.40972222222222227</v>
      </c>
      <c r="U97" s="13">
        <f t="shared" si="9"/>
        <v>3</v>
      </c>
    </row>
    <row r="98" spans="1:21" x14ac:dyDescent="0.35">
      <c r="A98" t="str">
        <f t="shared" si="5"/>
        <v>ESTUDIO SEGUIMIENTO DESEMPEÑO AMBIENTAL ACUICULTURA EN CHILE Y SU EFECTO EN LOS ECOSISTEMAS DE EMPLAZAMIENTO 2023-2024</v>
      </c>
      <c r="B98" t="str">
        <f t="shared" si="6"/>
        <v>Objetivo 1. Actividad 2. Muestreos y Analisis sedimentos</v>
      </c>
      <c r="C98" t="str">
        <f t="shared" si="7"/>
        <v>Gastón Vidal</v>
      </c>
      <c r="D98" t="str">
        <f t="shared" si="8"/>
        <v>INSTITUTO DE FOMENTO PESQUERO</v>
      </c>
      <c r="E98" s="14" t="s">
        <v>36</v>
      </c>
      <c r="F98" s="15" t="s">
        <v>203</v>
      </c>
      <c r="G98" s="16">
        <v>4</v>
      </c>
      <c r="H98" s="18" t="s">
        <v>210</v>
      </c>
      <c r="I98" s="18" t="s">
        <v>211</v>
      </c>
      <c r="J98" s="23">
        <v>7.5799999999999992</v>
      </c>
      <c r="K98" s="26">
        <v>0.23515952032609733</v>
      </c>
      <c r="L98" s="23">
        <v>12.933333333333335</v>
      </c>
      <c r="M98" s="26">
        <v>0.15275252316519414</v>
      </c>
      <c r="N98" s="25">
        <v>368.36666666666662</v>
      </c>
      <c r="O98" s="26">
        <v>18.703564722622627</v>
      </c>
      <c r="P98" s="25">
        <v>1.9366666666666665</v>
      </c>
      <c r="Q98" s="24">
        <v>3.1736782025487922</v>
      </c>
      <c r="R98" s="23">
        <v>1.2080405386489175</v>
      </c>
      <c r="S98" s="40" t="s">
        <v>364</v>
      </c>
      <c r="T98" s="41">
        <v>0.35416666666666669</v>
      </c>
      <c r="U98" s="13">
        <f t="shared" si="9"/>
        <v>4</v>
      </c>
    </row>
    <row r="99" spans="1:21" x14ac:dyDescent="0.35">
      <c r="A99" t="str">
        <f t="shared" si="5"/>
        <v>ESTUDIO SEGUIMIENTO DESEMPEÑO AMBIENTAL ACUICULTURA EN CHILE Y SU EFECTO EN LOS ECOSISTEMAS DE EMPLAZAMIENTO 2023-2024</v>
      </c>
      <c r="B99" t="str">
        <f t="shared" si="6"/>
        <v>Objetivo 1. Actividad 2. Muestreos y Analisis sedimentos</v>
      </c>
      <c r="C99" t="str">
        <f t="shared" si="7"/>
        <v>Gastón Vidal</v>
      </c>
      <c r="D99" t="str">
        <f t="shared" si="8"/>
        <v>INSTITUTO DE FOMENTO PESQUERO</v>
      </c>
      <c r="E99" s="14" t="s">
        <v>36</v>
      </c>
      <c r="F99" s="15" t="s">
        <v>203</v>
      </c>
      <c r="G99" s="16">
        <v>7</v>
      </c>
      <c r="H99" s="18" t="s">
        <v>212</v>
      </c>
      <c r="I99" s="18" t="s">
        <v>213</v>
      </c>
      <c r="J99" s="23">
        <v>7.3766666666666678</v>
      </c>
      <c r="K99" s="26">
        <v>2.5166114784236179E-2</v>
      </c>
      <c r="L99" s="23">
        <v>13.166666666666666</v>
      </c>
      <c r="M99" s="26">
        <v>0.40414518843273756</v>
      </c>
      <c r="N99" s="25">
        <v>280.53333333333336</v>
      </c>
      <c r="O99" s="26">
        <v>18.243172238767368</v>
      </c>
      <c r="P99" s="25">
        <v>60.236666666666657</v>
      </c>
      <c r="Q99" s="24">
        <v>26.686396034933864</v>
      </c>
      <c r="R99" s="23">
        <v>1.145229792257469</v>
      </c>
      <c r="S99" s="40">
        <v>45037</v>
      </c>
      <c r="T99" s="41">
        <v>0.69444444444444453</v>
      </c>
      <c r="U99" s="13">
        <f t="shared" si="9"/>
        <v>7</v>
      </c>
    </row>
    <row r="100" spans="1:21" x14ac:dyDescent="0.35">
      <c r="A100" t="str">
        <f t="shared" si="5"/>
        <v>ESTUDIO SEGUIMIENTO DESEMPEÑO AMBIENTAL ACUICULTURA EN CHILE Y SU EFECTO EN LOS ECOSISTEMAS DE EMPLAZAMIENTO 2023-2024</v>
      </c>
      <c r="B100" t="str">
        <f t="shared" si="6"/>
        <v>Objetivo 1. Actividad 2. Muestreos y Analisis sedimentos</v>
      </c>
      <c r="C100" t="str">
        <f t="shared" si="7"/>
        <v>Gastón Vidal</v>
      </c>
      <c r="D100" t="str">
        <f t="shared" si="8"/>
        <v>INSTITUTO DE FOMENTO PESQUERO</v>
      </c>
      <c r="E100" s="14" t="s">
        <v>36</v>
      </c>
      <c r="F100" s="15" t="s">
        <v>203</v>
      </c>
      <c r="G100" s="16">
        <v>9</v>
      </c>
      <c r="H100" s="18" t="s">
        <v>214</v>
      </c>
      <c r="I100" s="18" t="s">
        <v>215</v>
      </c>
      <c r="J100" s="23">
        <v>7.333333333333333</v>
      </c>
      <c r="K100" s="26">
        <v>6.1101009266077921E-2</v>
      </c>
      <c r="L100" s="23">
        <v>12.9</v>
      </c>
      <c r="M100" s="26">
        <v>0.34641016151377629</v>
      </c>
      <c r="N100" s="25">
        <v>324.3</v>
      </c>
      <c r="O100" s="26">
        <v>56.298579022920272</v>
      </c>
      <c r="P100" s="25">
        <v>0</v>
      </c>
      <c r="Q100" s="24">
        <v>0</v>
      </c>
      <c r="R100" s="23">
        <v>0.75874554070601419</v>
      </c>
      <c r="S100" s="40" t="s">
        <v>361</v>
      </c>
      <c r="T100" s="41">
        <v>0.65416666666666667</v>
      </c>
      <c r="U100" s="13">
        <f t="shared" si="9"/>
        <v>9</v>
      </c>
    </row>
    <row r="101" spans="1:21" x14ac:dyDescent="0.35">
      <c r="A101" t="str">
        <f t="shared" si="5"/>
        <v>ESTUDIO SEGUIMIENTO DESEMPEÑO AMBIENTAL ACUICULTURA EN CHILE Y SU EFECTO EN LOS ECOSISTEMAS DE EMPLAZAMIENTO 2023-2024</v>
      </c>
      <c r="B101" t="str">
        <f t="shared" si="6"/>
        <v>Objetivo 1. Actividad 2. Muestreos y Analisis sedimentos</v>
      </c>
      <c r="C101" t="str">
        <f t="shared" si="7"/>
        <v>Gastón Vidal</v>
      </c>
      <c r="D101" t="str">
        <f t="shared" si="8"/>
        <v>INSTITUTO DE FOMENTO PESQUERO</v>
      </c>
      <c r="E101" s="14" t="s">
        <v>36</v>
      </c>
      <c r="F101" s="15" t="s">
        <v>216</v>
      </c>
      <c r="G101" s="16">
        <v>3</v>
      </c>
      <c r="H101" s="18" t="s">
        <v>217</v>
      </c>
      <c r="I101" s="18" t="s">
        <v>218</v>
      </c>
      <c r="J101" s="23">
        <v>7.1366666666666667</v>
      </c>
      <c r="K101" s="26">
        <v>7.6376261582597069E-2</v>
      </c>
      <c r="L101" s="23">
        <v>12.966666666666667</v>
      </c>
      <c r="M101" s="26">
        <v>0.32145502536643172</v>
      </c>
      <c r="N101" s="25">
        <v>343</v>
      </c>
      <c r="O101" s="26">
        <v>16.951991033504019</v>
      </c>
      <c r="P101" s="25">
        <v>0</v>
      </c>
      <c r="Q101" s="24">
        <v>0</v>
      </c>
      <c r="R101" s="23">
        <v>0.50819793753245968</v>
      </c>
      <c r="S101" s="40" t="s">
        <v>361</v>
      </c>
      <c r="T101" s="41">
        <v>0.58333333333333337</v>
      </c>
      <c r="U101" s="13">
        <f t="shared" si="9"/>
        <v>3</v>
      </c>
    </row>
    <row r="102" spans="1:21" x14ac:dyDescent="0.35">
      <c r="A102" t="str">
        <f t="shared" si="5"/>
        <v>ESTUDIO SEGUIMIENTO DESEMPEÑO AMBIENTAL ACUICULTURA EN CHILE Y SU EFECTO EN LOS ECOSISTEMAS DE EMPLAZAMIENTO 2023-2024</v>
      </c>
      <c r="B102" t="str">
        <f t="shared" si="6"/>
        <v>Objetivo 1. Actividad 2. Muestreos y Analisis sedimentos</v>
      </c>
      <c r="C102" t="str">
        <f t="shared" si="7"/>
        <v>Gastón Vidal</v>
      </c>
      <c r="D102" t="str">
        <f t="shared" si="8"/>
        <v>INSTITUTO DE FOMENTO PESQUERO</v>
      </c>
      <c r="E102" s="14" t="s">
        <v>36</v>
      </c>
      <c r="F102" s="15" t="s">
        <v>216</v>
      </c>
      <c r="G102" s="16">
        <v>4</v>
      </c>
      <c r="H102" s="18" t="s">
        <v>219</v>
      </c>
      <c r="I102" s="18" t="s">
        <v>220</v>
      </c>
      <c r="J102" s="23">
        <v>7.1166666666666671</v>
      </c>
      <c r="K102" s="26">
        <v>6.1101009266077921E-2</v>
      </c>
      <c r="L102" s="23">
        <v>12.033333333333333</v>
      </c>
      <c r="M102" s="26">
        <v>0.25166114784235838</v>
      </c>
      <c r="N102" s="25">
        <v>207</v>
      </c>
      <c r="O102" s="26">
        <v>15.614416415607725</v>
      </c>
      <c r="P102" s="25">
        <v>28.943333333333332</v>
      </c>
      <c r="Q102" s="24">
        <v>2.6269056574862621</v>
      </c>
      <c r="R102" s="23">
        <v>2.7749101135595482</v>
      </c>
      <c r="S102" s="40" t="s">
        <v>365</v>
      </c>
      <c r="T102" s="41">
        <v>0.49305555555555558</v>
      </c>
      <c r="U102" s="13">
        <f t="shared" si="9"/>
        <v>4</v>
      </c>
    </row>
    <row r="103" spans="1:21" x14ac:dyDescent="0.35">
      <c r="A103" t="str">
        <f t="shared" si="5"/>
        <v>ESTUDIO SEGUIMIENTO DESEMPEÑO AMBIENTAL ACUICULTURA EN CHILE Y SU EFECTO EN LOS ECOSISTEMAS DE EMPLAZAMIENTO 2023-2024</v>
      </c>
      <c r="B103" t="str">
        <f t="shared" si="6"/>
        <v>Objetivo 1. Actividad 2. Muestreos y Analisis sedimentos</v>
      </c>
      <c r="C103" t="str">
        <f t="shared" si="7"/>
        <v>Gastón Vidal</v>
      </c>
      <c r="D103" t="str">
        <f t="shared" si="8"/>
        <v>INSTITUTO DE FOMENTO PESQUERO</v>
      </c>
      <c r="E103" s="14" t="s">
        <v>36</v>
      </c>
      <c r="F103" s="15" t="s">
        <v>216</v>
      </c>
      <c r="G103" s="16">
        <v>12</v>
      </c>
      <c r="H103" s="18" t="s">
        <v>221</v>
      </c>
      <c r="I103" s="18" t="s">
        <v>222</v>
      </c>
      <c r="J103" s="23">
        <v>7.5133333333333328</v>
      </c>
      <c r="K103" s="26">
        <v>6.4291005073286014E-2</v>
      </c>
      <c r="L103" s="23">
        <v>12</v>
      </c>
      <c r="M103" s="26">
        <v>0.30000000000000071</v>
      </c>
      <c r="N103" s="25">
        <v>367.06666666666666</v>
      </c>
      <c r="O103" s="26">
        <v>44.952122678838364</v>
      </c>
      <c r="P103" s="25">
        <v>0</v>
      </c>
      <c r="Q103" s="24">
        <v>0</v>
      </c>
      <c r="R103" s="23">
        <v>0.44792833146697059</v>
      </c>
      <c r="S103" s="40" t="s">
        <v>366</v>
      </c>
      <c r="T103" s="41">
        <v>0.55555555555555558</v>
      </c>
      <c r="U103" s="13">
        <f t="shared" si="9"/>
        <v>12</v>
      </c>
    </row>
    <row r="104" spans="1:21" x14ac:dyDescent="0.35">
      <c r="A104" t="str">
        <f t="shared" si="5"/>
        <v>ESTUDIO SEGUIMIENTO DESEMPEÑO AMBIENTAL ACUICULTURA EN CHILE Y SU EFECTO EN LOS ECOSISTEMAS DE EMPLAZAMIENTO 2023-2024</v>
      </c>
      <c r="B104" t="str">
        <f t="shared" si="6"/>
        <v>Objetivo 1. Actividad 2. Muestreos y Analisis sedimentos</v>
      </c>
      <c r="C104" t="str">
        <f t="shared" si="7"/>
        <v>Gastón Vidal</v>
      </c>
      <c r="D104" t="str">
        <f t="shared" si="8"/>
        <v>INSTITUTO DE FOMENTO PESQUERO</v>
      </c>
      <c r="E104" s="14" t="s">
        <v>36</v>
      </c>
      <c r="F104" s="15" t="s">
        <v>216</v>
      </c>
      <c r="G104" s="16">
        <v>14</v>
      </c>
      <c r="H104" s="18" t="s">
        <v>223</v>
      </c>
      <c r="I104" s="18" t="s">
        <v>224</v>
      </c>
      <c r="J104" s="23">
        <v>7.0133333333333328</v>
      </c>
      <c r="K104" s="26">
        <v>5.507570547286119E-2</v>
      </c>
      <c r="L104" s="23">
        <v>11.566666666666668</v>
      </c>
      <c r="M104" s="26">
        <v>0.15275252316519414</v>
      </c>
      <c r="N104" s="25">
        <v>353.90000000000003</v>
      </c>
      <c r="O104" s="26">
        <v>12.801171821360716</v>
      </c>
      <c r="P104" s="25">
        <v>0.04</v>
      </c>
      <c r="Q104" s="24">
        <v>6.9282032302755092E-2</v>
      </c>
      <c r="R104" s="23">
        <v>1.2428371323061236</v>
      </c>
      <c r="S104" s="40" t="s">
        <v>366</v>
      </c>
      <c r="T104" s="41">
        <v>0.48888888888888887</v>
      </c>
      <c r="U104" s="13">
        <f t="shared" si="9"/>
        <v>14</v>
      </c>
    </row>
    <row r="105" spans="1:21" x14ac:dyDescent="0.35">
      <c r="A105" t="str">
        <f t="shared" si="5"/>
        <v>ESTUDIO SEGUIMIENTO DESEMPEÑO AMBIENTAL ACUICULTURA EN CHILE Y SU EFECTO EN LOS ECOSISTEMAS DE EMPLAZAMIENTO 2023-2024</v>
      </c>
      <c r="B105" t="str">
        <f t="shared" si="6"/>
        <v>Objetivo 1. Actividad 2. Muestreos y Analisis sedimentos</v>
      </c>
      <c r="C105" t="str">
        <f t="shared" si="7"/>
        <v>Gastón Vidal</v>
      </c>
      <c r="D105" t="str">
        <f t="shared" si="8"/>
        <v>INSTITUTO DE FOMENTO PESQUERO</v>
      </c>
      <c r="E105" s="14" t="s">
        <v>36</v>
      </c>
      <c r="F105" s="15" t="s">
        <v>216</v>
      </c>
      <c r="G105" s="16">
        <v>18</v>
      </c>
      <c r="H105" s="18" t="s">
        <v>225</v>
      </c>
      <c r="I105" s="18" t="s">
        <v>226</v>
      </c>
      <c r="J105" s="23">
        <v>7.7833333333333341</v>
      </c>
      <c r="K105" s="26">
        <v>0.12662279942148388</v>
      </c>
      <c r="L105" s="23">
        <v>10.699999999999998</v>
      </c>
      <c r="M105" s="26">
        <v>0.29999999999999982</v>
      </c>
      <c r="N105" s="25">
        <v>409.33333333333331</v>
      </c>
      <c r="O105" s="26">
        <v>18.0422651940751</v>
      </c>
      <c r="P105" s="25">
        <v>0</v>
      </c>
      <c r="Q105" s="24">
        <v>0</v>
      </c>
      <c r="R105" s="23">
        <v>0.50451994581594295</v>
      </c>
      <c r="S105" s="40" t="s">
        <v>366</v>
      </c>
      <c r="T105" s="41">
        <v>0.35416666666666669</v>
      </c>
      <c r="U105" s="13">
        <f t="shared" si="9"/>
        <v>18</v>
      </c>
    </row>
    <row r="106" spans="1:21" x14ac:dyDescent="0.35">
      <c r="A106" t="str">
        <f t="shared" si="5"/>
        <v>ESTUDIO SEGUIMIENTO DESEMPEÑO AMBIENTAL ACUICULTURA EN CHILE Y SU EFECTO EN LOS ECOSISTEMAS DE EMPLAZAMIENTO 2023-2024</v>
      </c>
      <c r="B106" t="str">
        <f t="shared" si="6"/>
        <v>Objetivo 1. Actividad 2. Muestreos y Analisis sedimentos</v>
      </c>
      <c r="C106" t="str">
        <f t="shared" si="7"/>
        <v>Gastón Vidal</v>
      </c>
      <c r="D106" t="str">
        <f t="shared" si="8"/>
        <v>INSTITUTO DE FOMENTO PESQUERO</v>
      </c>
      <c r="E106" s="14" t="s">
        <v>36</v>
      </c>
      <c r="F106" s="15" t="s">
        <v>216</v>
      </c>
      <c r="G106" s="16">
        <v>19</v>
      </c>
      <c r="H106" s="18" t="s">
        <v>227</v>
      </c>
      <c r="I106" s="18" t="s">
        <v>228</v>
      </c>
      <c r="J106" s="23">
        <v>7.376666666666666</v>
      </c>
      <c r="K106" s="26">
        <v>0.23860706890897737</v>
      </c>
      <c r="L106" s="23">
        <v>11.866666666666667</v>
      </c>
      <c r="M106" s="26">
        <v>0.64291005073286345</v>
      </c>
      <c r="N106" s="25">
        <v>396.09999999999997</v>
      </c>
      <c r="O106" s="26">
        <v>13.003461077728499</v>
      </c>
      <c r="P106" s="25">
        <v>16.793333333333333</v>
      </c>
      <c r="Q106" s="24">
        <v>29.034960536107732</v>
      </c>
      <c r="R106" s="23">
        <v>1.2530532486565575</v>
      </c>
      <c r="S106" s="40" t="s">
        <v>367</v>
      </c>
      <c r="T106" s="41">
        <v>0.69444444444444453</v>
      </c>
      <c r="U106" s="13">
        <f t="shared" si="9"/>
        <v>19</v>
      </c>
    </row>
    <row r="107" spans="1:21" x14ac:dyDescent="0.35">
      <c r="A107" t="str">
        <f t="shared" si="5"/>
        <v>ESTUDIO SEGUIMIENTO DESEMPEÑO AMBIENTAL ACUICULTURA EN CHILE Y SU EFECTO EN LOS ECOSISTEMAS DE EMPLAZAMIENTO 2023-2024</v>
      </c>
      <c r="B107" t="str">
        <f t="shared" si="6"/>
        <v>Objetivo 1. Actividad 2. Muestreos y Analisis sedimentos</v>
      </c>
      <c r="C107" t="str">
        <f t="shared" si="7"/>
        <v>Gastón Vidal</v>
      </c>
      <c r="D107" t="str">
        <f t="shared" si="8"/>
        <v>INSTITUTO DE FOMENTO PESQUERO</v>
      </c>
      <c r="E107" s="14" t="s">
        <v>36</v>
      </c>
      <c r="F107" s="15" t="s">
        <v>216</v>
      </c>
      <c r="G107" s="20">
        <v>20</v>
      </c>
      <c r="H107" s="21" t="s">
        <v>229</v>
      </c>
      <c r="I107" s="21" t="s">
        <v>230</v>
      </c>
      <c r="J107" s="36" t="s">
        <v>351</v>
      </c>
      <c r="K107" s="28" t="s">
        <v>351</v>
      </c>
      <c r="L107" s="27" t="s">
        <v>351</v>
      </c>
      <c r="M107" s="28" t="s">
        <v>351</v>
      </c>
      <c r="N107" s="27" t="s">
        <v>351</v>
      </c>
      <c r="O107" s="28" t="s">
        <v>351</v>
      </c>
      <c r="P107" s="27" t="s">
        <v>351</v>
      </c>
      <c r="Q107" s="28" t="s">
        <v>351</v>
      </c>
      <c r="R107" s="36" t="s">
        <v>351</v>
      </c>
      <c r="S107" s="42" t="s">
        <v>351</v>
      </c>
      <c r="T107" s="43" t="s">
        <v>351</v>
      </c>
      <c r="U107" s="13">
        <f t="shared" si="9"/>
        <v>20</v>
      </c>
    </row>
    <row r="108" spans="1:21" x14ac:dyDescent="0.35">
      <c r="A108" t="str">
        <f t="shared" si="5"/>
        <v>ESTUDIO SEGUIMIENTO DESEMPEÑO AMBIENTAL ACUICULTURA EN CHILE Y SU EFECTO EN LOS ECOSISTEMAS DE EMPLAZAMIENTO 2023-2024</v>
      </c>
      <c r="B108" t="str">
        <f t="shared" si="6"/>
        <v>Objetivo 1. Actividad 2. Muestreos y Analisis sedimentos</v>
      </c>
      <c r="C108" t="str">
        <f t="shared" si="7"/>
        <v>Gastón Vidal</v>
      </c>
      <c r="D108" t="str">
        <f t="shared" si="8"/>
        <v>INSTITUTO DE FOMENTO PESQUERO</v>
      </c>
      <c r="E108" s="14" t="s">
        <v>36</v>
      </c>
      <c r="F108" s="15" t="s">
        <v>231</v>
      </c>
      <c r="G108" s="16">
        <v>1</v>
      </c>
      <c r="H108" s="18" t="s">
        <v>232</v>
      </c>
      <c r="I108" s="18" t="s">
        <v>233</v>
      </c>
      <c r="J108" s="23">
        <v>7.4333333333333336</v>
      </c>
      <c r="K108" s="26">
        <v>0.10016652800877784</v>
      </c>
      <c r="L108" s="23">
        <v>13.4</v>
      </c>
      <c r="M108" s="26">
        <v>0.20000000000000018</v>
      </c>
      <c r="N108" s="25">
        <v>332.1</v>
      </c>
      <c r="O108" s="26">
        <v>16.355732939859362</v>
      </c>
      <c r="P108" s="25">
        <v>8.2899999999999991</v>
      </c>
      <c r="Q108" s="24">
        <v>4.4500000000000028</v>
      </c>
      <c r="R108" s="23">
        <v>1.0440981200642949</v>
      </c>
      <c r="S108" s="40" t="s">
        <v>368</v>
      </c>
      <c r="T108" s="41">
        <v>0.57013888888888886</v>
      </c>
      <c r="U108" s="13">
        <f t="shared" si="9"/>
        <v>1</v>
      </c>
    </row>
    <row r="109" spans="1:21" x14ac:dyDescent="0.35">
      <c r="A109" t="str">
        <f t="shared" si="5"/>
        <v>ESTUDIO SEGUIMIENTO DESEMPEÑO AMBIENTAL ACUICULTURA EN CHILE Y SU EFECTO EN LOS ECOSISTEMAS DE EMPLAZAMIENTO 2023-2024</v>
      </c>
      <c r="B109" t="str">
        <f t="shared" si="6"/>
        <v>Objetivo 1. Actividad 2. Muestreos y Analisis sedimentos</v>
      </c>
      <c r="C109" t="str">
        <f t="shared" si="7"/>
        <v>Gastón Vidal</v>
      </c>
      <c r="D109" t="str">
        <f t="shared" si="8"/>
        <v>INSTITUTO DE FOMENTO PESQUERO</v>
      </c>
      <c r="E109" s="14" t="s">
        <v>36</v>
      </c>
      <c r="F109" s="15" t="s">
        <v>231</v>
      </c>
      <c r="G109" s="16">
        <v>2</v>
      </c>
      <c r="H109" s="18" t="s">
        <v>234</v>
      </c>
      <c r="I109" s="18" t="s">
        <v>235</v>
      </c>
      <c r="J109" s="23">
        <v>7.2899999999999991</v>
      </c>
      <c r="K109" s="26">
        <v>6.5574385243019964E-2</v>
      </c>
      <c r="L109" s="23">
        <v>12.9</v>
      </c>
      <c r="M109" s="26">
        <v>0.60827625302982191</v>
      </c>
      <c r="N109" s="25">
        <v>258.8</v>
      </c>
      <c r="O109" s="26">
        <v>40.963764475448286</v>
      </c>
      <c r="P109" s="25">
        <v>16.77</v>
      </c>
      <c r="Q109" s="24">
        <v>16.055488158259156</v>
      </c>
      <c r="R109" s="23">
        <v>1.7646317381622791</v>
      </c>
      <c r="S109" s="40" t="s">
        <v>368</v>
      </c>
      <c r="T109" s="41">
        <v>0.55208333333333337</v>
      </c>
      <c r="U109" s="13">
        <f t="shared" si="9"/>
        <v>2</v>
      </c>
    </row>
    <row r="110" spans="1:21" x14ac:dyDescent="0.35">
      <c r="A110" t="str">
        <f t="shared" si="5"/>
        <v>ESTUDIO SEGUIMIENTO DESEMPEÑO AMBIENTAL ACUICULTURA EN CHILE Y SU EFECTO EN LOS ECOSISTEMAS DE EMPLAZAMIENTO 2023-2024</v>
      </c>
      <c r="B110" t="str">
        <f t="shared" si="6"/>
        <v>Objetivo 1. Actividad 2. Muestreos y Analisis sedimentos</v>
      </c>
      <c r="C110" t="str">
        <f t="shared" si="7"/>
        <v>Gastón Vidal</v>
      </c>
      <c r="D110" t="str">
        <f t="shared" si="8"/>
        <v>INSTITUTO DE FOMENTO PESQUERO</v>
      </c>
      <c r="E110" s="14" t="s">
        <v>36</v>
      </c>
      <c r="F110" s="15" t="s">
        <v>231</v>
      </c>
      <c r="G110" s="16">
        <v>4</v>
      </c>
      <c r="H110" s="18" t="s">
        <v>236</v>
      </c>
      <c r="I110" s="18" t="s">
        <v>237</v>
      </c>
      <c r="J110" s="23">
        <v>7.3566666666666665</v>
      </c>
      <c r="K110" s="26">
        <v>0.10692676621563656</v>
      </c>
      <c r="L110" s="23">
        <v>12.433333333333332</v>
      </c>
      <c r="M110" s="26">
        <v>0.32145502536643233</v>
      </c>
      <c r="N110" s="25">
        <v>103.40000000000002</v>
      </c>
      <c r="O110" s="26">
        <v>194.6085301316466</v>
      </c>
      <c r="P110" s="25">
        <v>356.31666666666666</v>
      </c>
      <c r="Q110" s="24">
        <v>274.61816879684642</v>
      </c>
      <c r="R110" s="23">
        <v>1.2763396938173173</v>
      </c>
      <c r="S110" s="40" t="s">
        <v>368</v>
      </c>
      <c r="T110" s="41">
        <v>0.4861111111111111</v>
      </c>
      <c r="U110" s="13">
        <f t="shared" si="9"/>
        <v>4</v>
      </c>
    </row>
    <row r="111" spans="1:21" x14ac:dyDescent="0.35">
      <c r="A111" t="str">
        <f t="shared" si="5"/>
        <v>ESTUDIO SEGUIMIENTO DESEMPEÑO AMBIENTAL ACUICULTURA EN CHILE Y SU EFECTO EN LOS ECOSISTEMAS DE EMPLAZAMIENTO 2023-2024</v>
      </c>
      <c r="B111" t="str">
        <f t="shared" si="6"/>
        <v>Objetivo 1. Actividad 2. Muestreos y Analisis sedimentos</v>
      </c>
      <c r="C111" t="str">
        <f t="shared" si="7"/>
        <v>Gastón Vidal</v>
      </c>
      <c r="D111" t="str">
        <f t="shared" si="8"/>
        <v>INSTITUTO DE FOMENTO PESQUERO</v>
      </c>
      <c r="E111" s="14" t="s">
        <v>36</v>
      </c>
      <c r="F111" s="15" t="s">
        <v>231</v>
      </c>
      <c r="G111" s="16">
        <v>6</v>
      </c>
      <c r="H111" s="18" t="s">
        <v>238</v>
      </c>
      <c r="I111" s="18" t="s">
        <v>239</v>
      </c>
      <c r="J111" s="23">
        <v>7.4233333333333329</v>
      </c>
      <c r="K111" s="26">
        <v>2.081665999466124E-2</v>
      </c>
      <c r="L111" s="23">
        <v>12.233333333333334</v>
      </c>
      <c r="M111" s="26">
        <v>0.30550504633038922</v>
      </c>
      <c r="N111" s="25">
        <v>334.56666666666666</v>
      </c>
      <c r="O111" s="26">
        <v>11.329754336848316</v>
      </c>
      <c r="P111" s="25">
        <v>0.21</v>
      </c>
      <c r="Q111" s="24">
        <v>0.25709920264364883</v>
      </c>
      <c r="R111" s="23">
        <v>0.68125490391441856</v>
      </c>
      <c r="S111" s="40" t="s">
        <v>368</v>
      </c>
      <c r="T111" s="41">
        <v>0.4201388888888889</v>
      </c>
      <c r="U111" s="13">
        <f t="shared" si="9"/>
        <v>6</v>
      </c>
    </row>
    <row r="112" spans="1:21" x14ac:dyDescent="0.35">
      <c r="A112" t="str">
        <f t="shared" si="5"/>
        <v>ESTUDIO SEGUIMIENTO DESEMPEÑO AMBIENTAL ACUICULTURA EN CHILE Y SU EFECTO EN LOS ECOSISTEMAS DE EMPLAZAMIENTO 2023-2024</v>
      </c>
      <c r="B112" t="str">
        <f t="shared" si="6"/>
        <v>Objetivo 1. Actividad 2. Muestreos y Analisis sedimentos</v>
      </c>
      <c r="C112" t="str">
        <f t="shared" si="7"/>
        <v>Gastón Vidal</v>
      </c>
      <c r="D112" t="str">
        <f t="shared" si="8"/>
        <v>INSTITUTO DE FOMENTO PESQUERO</v>
      </c>
      <c r="E112" s="14" t="s">
        <v>36</v>
      </c>
      <c r="F112" s="15" t="s">
        <v>231</v>
      </c>
      <c r="G112" s="16">
        <v>7</v>
      </c>
      <c r="H112" s="18" t="s">
        <v>240</v>
      </c>
      <c r="I112" s="18" t="s">
        <v>241</v>
      </c>
      <c r="J112" s="23">
        <v>7.3999999999999995</v>
      </c>
      <c r="K112" s="26">
        <v>0.14933184523068097</v>
      </c>
      <c r="L112" s="23">
        <v>12.266666666666666</v>
      </c>
      <c r="M112" s="26">
        <v>0.20816659994661352</v>
      </c>
      <c r="N112" s="25">
        <v>403.36666666666662</v>
      </c>
      <c r="O112" s="26">
        <v>31.435860626573167</v>
      </c>
      <c r="P112" s="25">
        <v>17.766666666666669</v>
      </c>
      <c r="Q112" s="24">
        <v>17.141920351388094</v>
      </c>
      <c r="R112" s="23">
        <v>1.2800979652280411</v>
      </c>
      <c r="S112" s="40" t="s">
        <v>368</v>
      </c>
      <c r="T112" s="41">
        <v>0.36805555555555558</v>
      </c>
      <c r="U112" s="13">
        <f t="shared" si="9"/>
        <v>7</v>
      </c>
    </row>
    <row r="113" spans="1:21" x14ac:dyDescent="0.35">
      <c r="A113" t="str">
        <f t="shared" si="5"/>
        <v>ESTUDIO SEGUIMIENTO DESEMPEÑO AMBIENTAL ACUICULTURA EN CHILE Y SU EFECTO EN LOS ECOSISTEMAS DE EMPLAZAMIENTO 2023-2024</v>
      </c>
      <c r="B113" t="str">
        <f t="shared" si="6"/>
        <v>Objetivo 1. Actividad 2. Muestreos y Analisis sedimentos</v>
      </c>
      <c r="C113" t="str">
        <f t="shared" si="7"/>
        <v>Gastón Vidal</v>
      </c>
      <c r="D113" t="str">
        <f t="shared" si="8"/>
        <v>INSTITUTO DE FOMENTO PESQUERO</v>
      </c>
      <c r="E113" s="14" t="s">
        <v>36</v>
      </c>
      <c r="F113" s="15" t="s">
        <v>231</v>
      </c>
      <c r="G113" s="16">
        <v>8</v>
      </c>
      <c r="H113" s="18" t="s">
        <v>242</v>
      </c>
      <c r="I113" s="18" t="s">
        <v>243</v>
      </c>
      <c r="J113" s="23">
        <v>7.3533333333333326</v>
      </c>
      <c r="K113" s="26">
        <v>8.6216781042517079E-2</v>
      </c>
      <c r="L113" s="23">
        <v>12.166666666666666</v>
      </c>
      <c r="M113" s="26">
        <v>0.3785938897200179</v>
      </c>
      <c r="N113" s="25">
        <v>258.5</v>
      </c>
      <c r="O113" s="26">
        <v>57.084761539310854</v>
      </c>
      <c r="P113" s="25">
        <v>82.83</v>
      </c>
      <c r="Q113" s="24">
        <v>39.207617882243248</v>
      </c>
      <c r="R113" s="23">
        <v>1.0456273764258368</v>
      </c>
      <c r="S113" s="40" t="s">
        <v>369</v>
      </c>
      <c r="T113" s="41">
        <v>0.4375</v>
      </c>
      <c r="U113" s="13">
        <f t="shared" si="9"/>
        <v>8</v>
      </c>
    </row>
    <row r="114" spans="1:21" x14ac:dyDescent="0.35">
      <c r="A114" t="str">
        <f t="shared" si="5"/>
        <v>ESTUDIO SEGUIMIENTO DESEMPEÑO AMBIENTAL ACUICULTURA EN CHILE Y SU EFECTO EN LOS ECOSISTEMAS DE EMPLAZAMIENTO 2023-2024</v>
      </c>
      <c r="B114" t="str">
        <f t="shared" si="6"/>
        <v>Objetivo 1. Actividad 2. Muestreos y Analisis sedimentos</v>
      </c>
      <c r="C114" t="str">
        <f t="shared" si="7"/>
        <v>Gastón Vidal</v>
      </c>
      <c r="D114" t="str">
        <f t="shared" si="8"/>
        <v>INSTITUTO DE FOMENTO PESQUERO</v>
      </c>
      <c r="E114" s="14" t="s">
        <v>36</v>
      </c>
      <c r="F114" s="15" t="s">
        <v>231</v>
      </c>
      <c r="G114" s="16">
        <v>9</v>
      </c>
      <c r="H114" s="18" t="s">
        <v>244</v>
      </c>
      <c r="I114" s="18" t="s">
        <v>245</v>
      </c>
      <c r="J114" s="23">
        <v>7.5933333333333337</v>
      </c>
      <c r="K114" s="26">
        <v>2.081665999466124E-2</v>
      </c>
      <c r="L114" s="23">
        <v>12.299999999999999</v>
      </c>
      <c r="M114" s="26">
        <v>0.29999999999999982</v>
      </c>
      <c r="N114" s="25">
        <v>382.73333333333335</v>
      </c>
      <c r="O114" s="26">
        <v>46.353568722735176</v>
      </c>
      <c r="P114" s="25">
        <v>170.52333333333334</v>
      </c>
      <c r="Q114" s="24">
        <v>223.44186947242753</v>
      </c>
      <c r="R114" s="23">
        <v>0.9413522599925469</v>
      </c>
      <c r="S114" s="40" t="s">
        <v>369</v>
      </c>
      <c r="T114" s="41">
        <v>0.39930555555555558</v>
      </c>
      <c r="U114" s="13">
        <f t="shared" si="9"/>
        <v>9</v>
      </c>
    </row>
    <row r="115" spans="1:21" x14ac:dyDescent="0.35">
      <c r="A115" t="str">
        <f t="shared" si="5"/>
        <v>ESTUDIO SEGUIMIENTO DESEMPEÑO AMBIENTAL ACUICULTURA EN CHILE Y SU EFECTO EN LOS ECOSISTEMAS DE EMPLAZAMIENTO 2023-2024</v>
      </c>
      <c r="B115" t="str">
        <f t="shared" si="6"/>
        <v>Objetivo 1. Actividad 2. Muestreos y Analisis sedimentos</v>
      </c>
      <c r="C115" t="str">
        <f t="shared" si="7"/>
        <v>Gastón Vidal</v>
      </c>
      <c r="D115" t="str">
        <f t="shared" si="8"/>
        <v>INSTITUTO DE FOMENTO PESQUERO</v>
      </c>
      <c r="E115" s="14" t="s">
        <v>36</v>
      </c>
      <c r="F115" s="15" t="s">
        <v>231</v>
      </c>
      <c r="G115" s="16">
        <v>10</v>
      </c>
      <c r="H115" s="18" t="s">
        <v>246</v>
      </c>
      <c r="I115" s="18" t="s">
        <v>247</v>
      </c>
      <c r="J115" s="23">
        <v>7.3666666666666671</v>
      </c>
      <c r="K115" s="26">
        <v>8.1445278152470879E-2</v>
      </c>
      <c r="L115" s="23">
        <v>12.366666666666665</v>
      </c>
      <c r="M115" s="26">
        <v>0.30550504633038905</v>
      </c>
      <c r="N115" s="25">
        <v>326.33333333333331</v>
      </c>
      <c r="O115" s="26">
        <v>59.028919466083394</v>
      </c>
      <c r="P115" s="25">
        <v>49.376666666666665</v>
      </c>
      <c r="Q115" s="24">
        <v>60.155487142349145</v>
      </c>
      <c r="R115" s="23">
        <v>0.71986186434491406</v>
      </c>
      <c r="S115" s="40" t="s">
        <v>369</v>
      </c>
      <c r="T115" s="41">
        <v>0.48333333333333334</v>
      </c>
      <c r="U115" s="13">
        <f t="shared" si="9"/>
        <v>10</v>
      </c>
    </row>
    <row r="116" spans="1:21" x14ac:dyDescent="0.35">
      <c r="A116" t="str">
        <f t="shared" si="5"/>
        <v>ESTUDIO SEGUIMIENTO DESEMPEÑO AMBIENTAL ACUICULTURA EN CHILE Y SU EFECTO EN LOS ECOSISTEMAS DE EMPLAZAMIENTO 2023-2024</v>
      </c>
      <c r="B116" t="str">
        <f t="shared" si="6"/>
        <v>Objetivo 1. Actividad 2. Muestreos y Analisis sedimentos</v>
      </c>
      <c r="C116" t="str">
        <f t="shared" si="7"/>
        <v>Gastón Vidal</v>
      </c>
      <c r="D116" t="str">
        <f t="shared" si="8"/>
        <v>INSTITUTO DE FOMENTO PESQUERO</v>
      </c>
      <c r="E116" s="14" t="s">
        <v>36</v>
      </c>
      <c r="F116" s="15" t="s">
        <v>231</v>
      </c>
      <c r="G116" s="16">
        <v>12</v>
      </c>
      <c r="H116" s="18" t="s">
        <v>248</v>
      </c>
      <c r="I116" s="18" t="s">
        <v>249</v>
      </c>
      <c r="J116" s="23">
        <v>7.456666666666667</v>
      </c>
      <c r="K116" s="26">
        <v>4.9328828623162443E-2</v>
      </c>
      <c r="L116" s="23">
        <v>11.799999999999999</v>
      </c>
      <c r="M116" s="26">
        <v>0.20000000000000018</v>
      </c>
      <c r="N116" s="25">
        <v>316.43333333333334</v>
      </c>
      <c r="O116" s="26">
        <v>26.831759788231079</v>
      </c>
      <c r="P116" s="25">
        <v>6.7</v>
      </c>
      <c r="Q116" s="24">
        <v>7.6730893387213994</v>
      </c>
      <c r="R116" s="23">
        <v>2.6202389784224405</v>
      </c>
      <c r="S116" s="40" t="s">
        <v>369</v>
      </c>
      <c r="T116" s="41">
        <v>0.51944444444444449</v>
      </c>
      <c r="U116" s="13">
        <f t="shared" si="9"/>
        <v>12</v>
      </c>
    </row>
    <row r="117" spans="1:21" x14ac:dyDescent="0.35">
      <c r="A117" t="str">
        <f t="shared" si="5"/>
        <v>ESTUDIO SEGUIMIENTO DESEMPEÑO AMBIENTAL ACUICULTURA EN CHILE Y SU EFECTO EN LOS ECOSISTEMAS DE EMPLAZAMIENTO 2023-2024</v>
      </c>
      <c r="B117" t="str">
        <f t="shared" si="6"/>
        <v>Objetivo 1. Actividad 2. Muestreos y Analisis sedimentos</v>
      </c>
      <c r="C117" t="str">
        <f t="shared" si="7"/>
        <v>Gastón Vidal</v>
      </c>
      <c r="D117" t="str">
        <f t="shared" si="8"/>
        <v>INSTITUTO DE FOMENTO PESQUERO</v>
      </c>
      <c r="E117" s="14" t="s">
        <v>36</v>
      </c>
      <c r="F117" s="15" t="s">
        <v>231</v>
      </c>
      <c r="G117" s="16">
        <v>17</v>
      </c>
      <c r="H117" s="18" t="s">
        <v>250</v>
      </c>
      <c r="I117" s="18" t="s">
        <v>251</v>
      </c>
      <c r="J117" s="23">
        <v>7.5566666666666675</v>
      </c>
      <c r="K117" s="26">
        <v>0.25423086620891094</v>
      </c>
      <c r="L117" s="23">
        <v>12.433333333333335</v>
      </c>
      <c r="M117" s="26">
        <v>0.15275252316519414</v>
      </c>
      <c r="N117" s="25">
        <v>344.06666666666666</v>
      </c>
      <c r="O117" s="26">
        <v>28.745492400258751</v>
      </c>
      <c r="P117" s="25">
        <v>55.043333333333329</v>
      </c>
      <c r="Q117" s="24">
        <v>36.963468902868591</v>
      </c>
      <c r="R117" s="23">
        <v>1.0243976744776488</v>
      </c>
      <c r="S117" s="40" t="s">
        <v>369</v>
      </c>
      <c r="T117" s="41">
        <v>0.69791666666666663</v>
      </c>
      <c r="U117" s="13">
        <f t="shared" si="9"/>
        <v>17</v>
      </c>
    </row>
    <row r="118" spans="1:21" x14ac:dyDescent="0.35">
      <c r="A118" t="str">
        <f t="shared" si="5"/>
        <v>ESTUDIO SEGUIMIENTO DESEMPEÑO AMBIENTAL ACUICULTURA EN CHILE Y SU EFECTO EN LOS ECOSISTEMAS DE EMPLAZAMIENTO 2023-2024</v>
      </c>
      <c r="B118" t="str">
        <f t="shared" si="6"/>
        <v>Objetivo 1. Actividad 2. Muestreos y Analisis sedimentos</v>
      </c>
      <c r="C118" t="str">
        <f t="shared" si="7"/>
        <v>Gastón Vidal</v>
      </c>
      <c r="D118" t="str">
        <f t="shared" si="8"/>
        <v>INSTITUTO DE FOMENTO PESQUERO</v>
      </c>
      <c r="E118" s="14" t="s">
        <v>36</v>
      </c>
      <c r="F118" s="15" t="s">
        <v>252</v>
      </c>
      <c r="G118" s="16">
        <v>2</v>
      </c>
      <c r="H118" s="18" t="s">
        <v>253</v>
      </c>
      <c r="I118" s="18" t="s">
        <v>254</v>
      </c>
      <c r="J118" s="23">
        <v>7.663333333333334</v>
      </c>
      <c r="K118" s="26">
        <v>7.5055534994651521E-2</v>
      </c>
      <c r="L118" s="23">
        <v>11.866666666666667</v>
      </c>
      <c r="M118" s="26">
        <v>5.7735026918962373E-2</v>
      </c>
      <c r="N118" s="25">
        <v>330.5</v>
      </c>
      <c r="O118" s="26">
        <v>7.4939975980780611</v>
      </c>
      <c r="P118" s="25">
        <v>3.3333333333333335E-3</v>
      </c>
      <c r="Q118" s="24">
        <v>5.773502691896258E-3</v>
      </c>
      <c r="R118" s="23">
        <v>1.015548576429971</v>
      </c>
      <c r="S118" s="40">
        <v>45053</v>
      </c>
      <c r="T118" s="41">
        <v>0.40763888888888888</v>
      </c>
      <c r="U118" s="13">
        <f t="shared" si="9"/>
        <v>2</v>
      </c>
    </row>
    <row r="119" spans="1:21" x14ac:dyDescent="0.35">
      <c r="A119" t="str">
        <f t="shared" si="5"/>
        <v>ESTUDIO SEGUIMIENTO DESEMPEÑO AMBIENTAL ACUICULTURA EN CHILE Y SU EFECTO EN LOS ECOSISTEMAS DE EMPLAZAMIENTO 2023-2024</v>
      </c>
      <c r="B119" t="str">
        <f t="shared" si="6"/>
        <v>Objetivo 1. Actividad 2. Muestreos y Analisis sedimentos</v>
      </c>
      <c r="C119" t="str">
        <f t="shared" si="7"/>
        <v>Gastón Vidal</v>
      </c>
      <c r="D119" t="str">
        <f t="shared" si="8"/>
        <v>INSTITUTO DE FOMENTO PESQUERO</v>
      </c>
      <c r="E119" s="14" t="s">
        <v>36</v>
      </c>
      <c r="F119" s="15" t="s">
        <v>252</v>
      </c>
      <c r="G119" s="16">
        <v>4</v>
      </c>
      <c r="H119" s="18" t="s">
        <v>255</v>
      </c>
      <c r="I119" s="18" t="s">
        <v>256</v>
      </c>
      <c r="J119" s="23">
        <v>7.4066666666666663</v>
      </c>
      <c r="K119" s="26">
        <v>5.5075705472860864E-2</v>
      </c>
      <c r="L119" s="23">
        <v>11.433333333333332</v>
      </c>
      <c r="M119" s="26">
        <v>0.15275252316519414</v>
      </c>
      <c r="N119" s="25">
        <v>396.36666666666662</v>
      </c>
      <c r="O119" s="26">
        <v>28.008272587457679</v>
      </c>
      <c r="P119" s="25">
        <v>0.75666666666666649</v>
      </c>
      <c r="Q119" s="24">
        <v>0.10692676621563765</v>
      </c>
      <c r="R119" s="23">
        <v>1.3536215918479519</v>
      </c>
      <c r="S119" s="40" t="s">
        <v>370</v>
      </c>
      <c r="T119" s="41">
        <v>0.36805555555555558</v>
      </c>
      <c r="U119" s="13">
        <f t="shared" si="9"/>
        <v>4</v>
      </c>
    </row>
    <row r="120" spans="1:21" x14ac:dyDescent="0.35">
      <c r="A120" t="str">
        <f t="shared" si="5"/>
        <v>ESTUDIO SEGUIMIENTO DESEMPEÑO AMBIENTAL ACUICULTURA EN CHILE Y SU EFECTO EN LOS ECOSISTEMAS DE EMPLAZAMIENTO 2023-2024</v>
      </c>
      <c r="B120" t="str">
        <f t="shared" si="6"/>
        <v>Objetivo 1. Actividad 2. Muestreos y Analisis sedimentos</v>
      </c>
      <c r="C120" t="str">
        <f t="shared" si="7"/>
        <v>Gastón Vidal</v>
      </c>
      <c r="D120" t="str">
        <f t="shared" si="8"/>
        <v>INSTITUTO DE FOMENTO PESQUERO</v>
      </c>
      <c r="E120" s="14" t="s">
        <v>36</v>
      </c>
      <c r="F120" s="15" t="s">
        <v>252</v>
      </c>
      <c r="G120" s="16">
        <v>5</v>
      </c>
      <c r="H120" s="18" t="s">
        <v>257</v>
      </c>
      <c r="I120" s="18" t="s">
        <v>258</v>
      </c>
      <c r="J120" s="23">
        <v>7.6133333333333333</v>
      </c>
      <c r="K120" s="26">
        <v>9.5043849529221874E-2</v>
      </c>
      <c r="L120" s="23">
        <v>12.5</v>
      </c>
      <c r="M120" s="26">
        <v>0.34641016151377524</v>
      </c>
      <c r="N120" s="25">
        <v>177.20000000000002</v>
      </c>
      <c r="O120" s="26">
        <v>31.44773441760152</v>
      </c>
      <c r="P120" s="25">
        <v>293.89333333333332</v>
      </c>
      <c r="Q120" s="24">
        <v>145.12770284591886</v>
      </c>
      <c r="R120" s="23">
        <v>1.2385412058998346</v>
      </c>
      <c r="S120" s="40" t="s">
        <v>371</v>
      </c>
      <c r="T120" s="41">
        <v>0.60416666666666663</v>
      </c>
      <c r="U120" s="13">
        <f t="shared" si="9"/>
        <v>5</v>
      </c>
    </row>
    <row r="121" spans="1:21" x14ac:dyDescent="0.35">
      <c r="A121" t="str">
        <f t="shared" si="5"/>
        <v>ESTUDIO SEGUIMIENTO DESEMPEÑO AMBIENTAL ACUICULTURA EN CHILE Y SU EFECTO EN LOS ECOSISTEMAS DE EMPLAZAMIENTO 2023-2024</v>
      </c>
      <c r="B121" t="str">
        <f t="shared" si="6"/>
        <v>Objetivo 1. Actividad 2. Muestreos y Analisis sedimentos</v>
      </c>
      <c r="C121" t="str">
        <f t="shared" si="7"/>
        <v>Gastón Vidal</v>
      </c>
      <c r="D121" t="str">
        <f t="shared" si="8"/>
        <v>INSTITUTO DE FOMENTO PESQUERO</v>
      </c>
      <c r="E121" s="14" t="s">
        <v>36</v>
      </c>
      <c r="F121" s="15" t="s">
        <v>252</v>
      </c>
      <c r="G121" s="16">
        <v>12</v>
      </c>
      <c r="H121" s="18" t="s">
        <v>259</v>
      </c>
      <c r="I121" s="18" t="s">
        <v>260</v>
      </c>
      <c r="J121" s="23">
        <v>7.293333333333333</v>
      </c>
      <c r="K121" s="26">
        <v>8.3864970836060579E-2</v>
      </c>
      <c r="L121" s="23">
        <v>12.933333333333332</v>
      </c>
      <c r="M121" s="26">
        <v>0.55075705472861003</v>
      </c>
      <c r="N121" s="25">
        <v>234.03333333333333</v>
      </c>
      <c r="O121" s="26">
        <v>42.445415928381969</v>
      </c>
      <c r="P121" s="25">
        <v>112.7</v>
      </c>
      <c r="Q121" s="26">
        <v>32.285029038239962</v>
      </c>
      <c r="R121" s="23">
        <v>1.8891426198879193</v>
      </c>
      <c r="S121" s="40" t="s">
        <v>371</v>
      </c>
      <c r="T121" s="41">
        <v>0.41666666666666669</v>
      </c>
      <c r="U121" s="13">
        <f t="shared" si="9"/>
        <v>12</v>
      </c>
    </row>
    <row r="122" spans="1:21" x14ac:dyDescent="0.35">
      <c r="A122" t="str">
        <f t="shared" si="5"/>
        <v>ESTUDIO SEGUIMIENTO DESEMPEÑO AMBIENTAL ACUICULTURA EN CHILE Y SU EFECTO EN LOS ECOSISTEMAS DE EMPLAZAMIENTO 2023-2024</v>
      </c>
      <c r="B122" t="str">
        <f t="shared" si="6"/>
        <v>Objetivo 1. Actividad 2. Muestreos y Analisis sedimentos</v>
      </c>
      <c r="C122" t="str">
        <f t="shared" si="7"/>
        <v>Gastón Vidal</v>
      </c>
      <c r="D122" t="str">
        <f t="shared" si="8"/>
        <v>INSTITUTO DE FOMENTO PESQUERO</v>
      </c>
      <c r="E122" s="14" t="s">
        <v>36</v>
      </c>
      <c r="F122" s="15" t="s">
        <v>252</v>
      </c>
      <c r="G122" s="16">
        <v>13</v>
      </c>
      <c r="H122" s="18" t="s">
        <v>261</v>
      </c>
      <c r="I122" s="18" t="s">
        <v>262</v>
      </c>
      <c r="J122" s="23">
        <v>7.0533333333333337</v>
      </c>
      <c r="K122" s="26">
        <v>0.15695009822658107</v>
      </c>
      <c r="L122" s="23">
        <v>11.833333333333334</v>
      </c>
      <c r="M122" s="26">
        <v>0.20816659994661352</v>
      </c>
      <c r="N122" s="25">
        <v>405.5</v>
      </c>
      <c r="O122" s="26">
        <v>44.541104611358733</v>
      </c>
      <c r="P122" s="25">
        <v>133.12333333333333</v>
      </c>
      <c r="Q122" s="26">
        <v>197.78537087796286</v>
      </c>
      <c r="R122" s="23">
        <v>1.7521565578794254</v>
      </c>
      <c r="S122" s="40" t="s">
        <v>371</v>
      </c>
      <c r="T122" s="41">
        <v>0.38472222222222219</v>
      </c>
      <c r="U122" s="13">
        <f t="shared" si="9"/>
        <v>13</v>
      </c>
    </row>
    <row r="123" spans="1:21" x14ac:dyDescent="0.35">
      <c r="A123" t="str">
        <f t="shared" si="5"/>
        <v>ESTUDIO SEGUIMIENTO DESEMPEÑO AMBIENTAL ACUICULTURA EN CHILE Y SU EFECTO EN LOS ECOSISTEMAS DE EMPLAZAMIENTO 2023-2024</v>
      </c>
      <c r="B123" t="str">
        <f t="shared" si="6"/>
        <v>Objetivo 1. Actividad 2. Muestreos y Analisis sedimentos</v>
      </c>
      <c r="C123" t="str">
        <f t="shared" si="7"/>
        <v>Gastón Vidal</v>
      </c>
      <c r="D123" t="str">
        <f t="shared" si="8"/>
        <v>INSTITUTO DE FOMENTO PESQUERO</v>
      </c>
      <c r="E123" s="14" t="s">
        <v>36</v>
      </c>
      <c r="F123" s="15" t="s">
        <v>252</v>
      </c>
      <c r="G123" s="16">
        <v>14</v>
      </c>
      <c r="H123" s="18" t="s">
        <v>263</v>
      </c>
      <c r="I123" s="18" t="s">
        <v>264</v>
      </c>
      <c r="J123" s="23">
        <v>7.0266666666666664</v>
      </c>
      <c r="K123" s="26">
        <v>0.37287173844813387</v>
      </c>
      <c r="L123" s="23">
        <v>12.45</v>
      </c>
      <c r="M123" s="26">
        <v>7.0710678118654502E-2</v>
      </c>
      <c r="N123" s="25">
        <v>129.63333333333335</v>
      </c>
      <c r="O123" s="26">
        <v>70.750147231884483</v>
      </c>
      <c r="P123" s="25">
        <v>74.766666666666666</v>
      </c>
      <c r="Q123" s="24">
        <v>23.550418963010689</v>
      </c>
      <c r="R123" s="23">
        <v>1.796550622804171</v>
      </c>
      <c r="S123" s="40" t="s">
        <v>368</v>
      </c>
      <c r="T123" s="41">
        <v>0.70138888888888884</v>
      </c>
      <c r="U123" s="13">
        <f t="shared" si="9"/>
        <v>14</v>
      </c>
    </row>
    <row r="124" spans="1:21" x14ac:dyDescent="0.35">
      <c r="A124" t="str">
        <f t="shared" si="5"/>
        <v>ESTUDIO SEGUIMIENTO DESEMPEÑO AMBIENTAL ACUICULTURA EN CHILE Y SU EFECTO EN LOS ECOSISTEMAS DE EMPLAZAMIENTO 2023-2024</v>
      </c>
      <c r="B124" t="str">
        <f t="shared" si="6"/>
        <v>Objetivo 1. Actividad 2. Muestreos y Analisis sedimentos</v>
      </c>
      <c r="C124" t="str">
        <f t="shared" si="7"/>
        <v>Gastón Vidal</v>
      </c>
      <c r="D124" t="str">
        <f t="shared" si="8"/>
        <v>INSTITUTO DE FOMENTO PESQUERO</v>
      </c>
      <c r="E124" s="14" t="s">
        <v>36</v>
      </c>
      <c r="F124" s="15" t="s">
        <v>252</v>
      </c>
      <c r="G124" s="16">
        <v>16</v>
      </c>
      <c r="H124" s="18" t="s">
        <v>265</v>
      </c>
      <c r="I124" s="18" t="s">
        <v>266</v>
      </c>
      <c r="J124" s="23">
        <v>7.333333333333333</v>
      </c>
      <c r="K124" s="26">
        <v>6.6583281184794035E-2</v>
      </c>
      <c r="L124" s="23">
        <v>12.466666666666667</v>
      </c>
      <c r="M124" s="26">
        <v>5.7735026918962373E-2</v>
      </c>
      <c r="N124" s="25">
        <v>72.033333333333317</v>
      </c>
      <c r="O124" s="26">
        <v>140.45772792314895</v>
      </c>
      <c r="P124" s="25">
        <v>138.85999999999999</v>
      </c>
      <c r="Q124" s="26">
        <v>75.872746095024169</v>
      </c>
      <c r="R124" s="23">
        <v>1.3084842228608331</v>
      </c>
      <c r="S124" s="40" t="s">
        <v>368</v>
      </c>
      <c r="T124" s="41">
        <v>0.65972222222222221</v>
      </c>
      <c r="U124" s="13">
        <f t="shared" si="9"/>
        <v>16</v>
      </c>
    </row>
    <row r="125" spans="1:21" x14ac:dyDescent="0.35">
      <c r="A125" t="str">
        <f t="shared" si="5"/>
        <v>ESTUDIO SEGUIMIENTO DESEMPEÑO AMBIENTAL ACUICULTURA EN CHILE Y SU EFECTO EN LOS ECOSISTEMAS DE EMPLAZAMIENTO 2023-2024</v>
      </c>
      <c r="B125" t="str">
        <f t="shared" si="6"/>
        <v>Objetivo 1. Actividad 2. Muestreos y Analisis sedimentos</v>
      </c>
      <c r="C125" t="str">
        <f t="shared" si="7"/>
        <v>Gastón Vidal</v>
      </c>
      <c r="D125" t="str">
        <f t="shared" si="8"/>
        <v>INSTITUTO DE FOMENTO PESQUERO</v>
      </c>
      <c r="E125" s="14" t="s">
        <v>36</v>
      </c>
      <c r="F125" s="15" t="s">
        <v>252</v>
      </c>
      <c r="G125" s="16">
        <v>17</v>
      </c>
      <c r="H125" s="18" t="s">
        <v>267</v>
      </c>
      <c r="I125" s="18" t="s">
        <v>268</v>
      </c>
      <c r="J125" s="23">
        <v>7.2866666666666662</v>
      </c>
      <c r="K125" s="26">
        <v>0.1266227994214838</v>
      </c>
      <c r="L125" s="23">
        <v>11.966666666666667</v>
      </c>
      <c r="M125" s="26">
        <v>0.11547005383792475</v>
      </c>
      <c r="N125" s="25">
        <v>361.06666666666666</v>
      </c>
      <c r="O125" s="26">
        <v>39.172098914065536</v>
      </c>
      <c r="P125" s="25">
        <v>1.6666666666666666E-2</v>
      </c>
      <c r="Q125" s="24">
        <v>2.0816659994661327E-2</v>
      </c>
      <c r="R125" s="23">
        <v>0.88727438422398375</v>
      </c>
      <c r="S125" s="40" t="s">
        <v>369</v>
      </c>
      <c r="T125" s="41">
        <v>0.60416666666666663</v>
      </c>
      <c r="U125" s="13">
        <f t="shared" si="9"/>
        <v>17</v>
      </c>
    </row>
    <row r="126" spans="1:21" x14ac:dyDescent="0.35">
      <c r="A126" t="str">
        <f t="shared" si="5"/>
        <v>ESTUDIO SEGUIMIENTO DESEMPEÑO AMBIENTAL ACUICULTURA EN CHILE Y SU EFECTO EN LOS ECOSISTEMAS DE EMPLAZAMIENTO 2023-2024</v>
      </c>
      <c r="B126" t="str">
        <f t="shared" si="6"/>
        <v>Objetivo 1. Actividad 2. Muestreos y Analisis sedimentos</v>
      </c>
      <c r="C126" t="str">
        <f t="shared" si="7"/>
        <v>Gastón Vidal</v>
      </c>
      <c r="D126" t="str">
        <f t="shared" si="8"/>
        <v>INSTITUTO DE FOMENTO PESQUERO</v>
      </c>
      <c r="E126" s="14" t="s">
        <v>36</v>
      </c>
      <c r="F126" s="15" t="s">
        <v>252</v>
      </c>
      <c r="G126" s="16">
        <v>19</v>
      </c>
      <c r="H126" s="18" t="s">
        <v>269</v>
      </c>
      <c r="I126" s="18" t="s">
        <v>270</v>
      </c>
      <c r="J126" s="23">
        <v>7.3466666666666667</v>
      </c>
      <c r="K126" s="26">
        <v>7.0945988845976193E-2</v>
      </c>
      <c r="L126" s="23">
        <v>11.1</v>
      </c>
      <c r="M126" s="26">
        <v>0.26457513110645914</v>
      </c>
      <c r="N126" s="25">
        <v>329.73333333333335</v>
      </c>
      <c r="O126" s="26">
        <v>0.75055534994651374</v>
      </c>
      <c r="P126" s="25">
        <v>43.586666666666673</v>
      </c>
      <c r="Q126" s="24">
        <v>3.5887927403701272</v>
      </c>
      <c r="R126" s="23">
        <v>1.3659442538978399</v>
      </c>
      <c r="S126" s="40" t="s">
        <v>367</v>
      </c>
      <c r="T126" s="41">
        <v>0.6479166666666667</v>
      </c>
      <c r="U126" s="13">
        <f t="shared" si="9"/>
        <v>19</v>
      </c>
    </row>
    <row r="127" spans="1:21" x14ac:dyDescent="0.35">
      <c r="A127" t="str">
        <f t="shared" si="5"/>
        <v>ESTUDIO SEGUIMIENTO DESEMPEÑO AMBIENTAL ACUICULTURA EN CHILE Y SU EFECTO EN LOS ECOSISTEMAS DE EMPLAZAMIENTO 2023-2024</v>
      </c>
      <c r="B127" t="str">
        <f t="shared" si="6"/>
        <v>Objetivo 1. Actividad 2. Muestreos y Analisis sedimentos</v>
      </c>
      <c r="C127" t="str">
        <f t="shared" si="7"/>
        <v>Gastón Vidal</v>
      </c>
      <c r="D127" t="str">
        <f t="shared" si="8"/>
        <v>INSTITUTO DE FOMENTO PESQUERO</v>
      </c>
      <c r="E127" s="14" t="s">
        <v>36</v>
      </c>
      <c r="F127" s="15" t="s">
        <v>252</v>
      </c>
      <c r="G127" s="16">
        <v>25</v>
      </c>
      <c r="H127" s="18" t="s">
        <v>271</v>
      </c>
      <c r="I127" s="18" t="s">
        <v>272</v>
      </c>
      <c r="J127" s="23">
        <v>7.6066666666666665</v>
      </c>
      <c r="K127" s="26">
        <v>0.18610033136277146</v>
      </c>
      <c r="L127" s="23">
        <v>11.566666666666668</v>
      </c>
      <c r="M127" s="26">
        <v>0.40414518843273833</v>
      </c>
      <c r="N127" s="25">
        <v>390.76666666666665</v>
      </c>
      <c r="O127" s="26">
        <v>5.2204725201204942</v>
      </c>
      <c r="P127" s="25">
        <v>0.92666666666666664</v>
      </c>
      <c r="Q127" s="24">
        <v>1.5448085102475755</v>
      </c>
      <c r="R127" s="23">
        <v>1.5563115052848975</v>
      </c>
      <c r="S127" s="40" t="s">
        <v>367</v>
      </c>
      <c r="T127" s="41">
        <v>0.4770833333333333</v>
      </c>
      <c r="U127" s="13">
        <f t="shared" si="9"/>
        <v>25</v>
      </c>
    </row>
    <row r="128" spans="1:21" x14ac:dyDescent="0.35">
      <c r="A128" t="str">
        <f t="shared" si="5"/>
        <v>ESTUDIO SEGUIMIENTO DESEMPEÑO AMBIENTAL ACUICULTURA EN CHILE Y SU EFECTO EN LOS ECOSISTEMAS DE EMPLAZAMIENTO 2023-2024</v>
      </c>
      <c r="B128" t="str">
        <f t="shared" si="6"/>
        <v>Objetivo 1. Actividad 2. Muestreos y Analisis sedimentos</v>
      </c>
      <c r="C128" t="str">
        <f t="shared" si="7"/>
        <v>Gastón Vidal</v>
      </c>
      <c r="D128" t="str">
        <f t="shared" si="8"/>
        <v>INSTITUTO DE FOMENTO PESQUERO</v>
      </c>
      <c r="E128" s="14" t="s">
        <v>36</v>
      </c>
      <c r="F128" s="15" t="s">
        <v>252</v>
      </c>
      <c r="G128" s="16">
        <v>31</v>
      </c>
      <c r="H128" s="18" t="s">
        <v>273</v>
      </c>
      <c r="I128" s="18" t="s">
        <v>274</v>
      </c>
      <c r="J128" s="23">
        <v>7.416666666666667</v>
      </c>
      <c r="K128" s="26">
        <v>7.0237691685685194E-2</v>
      </c>
      <c r="L128" s="23">
        <v>11.666666666666666</v>
      </c>
      <c r="M128" s="26">
        <v>5.7735026918962373E-2</v>
      </c>
      <c r="N128" s="25">
        <v>313.43333333333334</v>
      </c>
      <c r="O128" s="26">
        <v>17.574508053807179</v>
      </c>
      <c r="P128" s="25">
        <v>2.6266666666666665</v>
      </c>
      <c r="Q128" s="24">
        <v>0.70713035101976129</v>
      </c>
      <c r="R128" s="23">
        <v>1.0356473785587776</v>
      </c>
      <c r="S128" s="40" t="s">
        <v>372</v>
      </c>
      <c r="T128" s="41">
        <v>0.46666666666666662</v>
      </c>
      <c r="U128" s="13">
        <f t="shared" si="9"/>
        <v>31</v>
      </c>
    </row>
    <row r="129" spans="1:21" x14ac:dyDescent="0.35">
      <c r="A129" t="str">
        <f t="shared" si="5"/>
        <v>ESTUDIO SEGUIMIENTO DESEMPEÑO AMBIENTAL ACUICULTURA EN CHILE Y SU EFECTO EN LOS ECOSISTEMAS DE EMPLAZAMIENTO 2023-2024</v>
      </c>
      <c r="B129" t="str">
        <f t="shared" si="6"/>
        <v>Objetivo 1. Actividad 2. Muestreos y Analisis sedimentos</v>
      </c>
      <c r="C129" t="str">
        <f t="shared" si="7"/>
        <v>Gastón Vidal</v>
      </c>
      <c r="D129" t="str">
        <f t="shared" si="8"/>
        <v>INSTITUTO DE FOMENTO PESQUERO</v>
      </c>
      <c r="E129" s="14" t="s">
        <v>36</v>
      </c>
      <c r="F129" s="15" t="s">
        <v>252</v>
      </c>
      <c r="G129" s="16">
        <v>32</v>
      </c>
      <c r="H129" s="18" t="s">
        <v>275</v>
      </c>
      <c r="I129" s="18" t="s">
        <v>276</v>
      </c>
      <c r="J129" s="23">
        <v>7.626666666666666</v>
      </c>
      <c r="K129" s="26">
        <v>0.10115993936995696</v>
      </c>
      <c r="L129" s="23">
        <v>11.799999999999999</v>
      </c>
      <c r="M129" s="26">
        <v>0.26457513110645914</v>
      </c>
      <c r="N129" s="25">
        <v>301</v>
      </c>
      <c r="O129" s="26">
        <v>5.0209560842532985</v>
      </c>
      <c r="P129" s="25">
        <v>3.6666666666666674E-2</v>
      </c>
      <c r="Q129" s="24">
        <v>3.5118845842842458E-2</v>
      </c>
      <c r="R129" s="23">
        <v>2.1071127354512558</v>
      </c>
      <c r="S129" s="40" t="s">
        <v>373</v>
      </c>
      <c r="T129" s="41">
        <v>0.34722222222222227</v>
      </c>
      <c r="U129" s="13">
        <f t="shared" si="9"/>
        <v>32</v>
      </c>
    </row>
    <row r="130" spans="1:21" x14ac:dyDescent="0.35">
      <c r="A130" t="str">
        <f t="shared" si="5"/>
        <v>ESTUDIO SEGUIMIENTO DESEMPEÑO AMBIENTAL ACUICULTURA EN CHILE Y SU EFECTO EN LOS ECOSISTEMAS DE EMPLAZAMIENTO 2023-2024</v>
      </c>
      <c r="B130" t="str">
        <f t="shared" si="6"/>
        <v>Objetivo 1. Actividad 2. Muestreos y Analisis sedimentos</v>
      </c>
      <c r="C130" t="str">
        <f t="shared" si="7"/>
        <v>Gastón Vidal</v>
      </c>
      <c r="D130" t="str">
        <f t="shared" si="8"/>
        <v>INSTITUTO DE FOMENTO PESQUERO</v>
      </c>
      <c r="E130" s="14" t="s">
        <v>36</v>
      </c>
      <c r="F130" s="15" t="s">
        <v>277</v>
      </c>
      <c r="G130" s="16">
        <v>5</v>
      </c>
      <c r="H130" s="18" t="s">
        <v>278</v>
      </c>
      <c r="I130" s="18" t="s">
        <v>279</v>
      </c>
      <c r="J130" s="23">
        <v>7.1933333333333325</v>
      </c>
      <c r="K130" s="26">
        <v>1.5275252316519529E-2</v>
      </c>
      <c r="L130" s="23">
        <v>12.033333333333333</v>
      </c>
      <c r="M130" s="26">
        <v>0.25166114784235838</v>
      </c>
      <c r="N130" s="25">
        <v>227.86666666666667</v>
      </c>
      <c r="O130" s="26">
        <v>57.359945374218498</v>
      </c>
      <c r="P130" s="25">
        <v>66.153333333333322</v>
      </c>
      <c r="Q130" s="24">
        <v>11.419108254734008</v>
      </c>
      <c r="R130" s="23">
        <v>1.1142261519660781</v>
      </c>
      <c r="S130" s="49" t="s">
        <v>374</v>
      </c>
      <c r="T130" s="41">
        <v>0.6166666666666667</v>
      </c>
      <c r="U130" s="13">
        <f t="shared" si="9"/>
        <v>5</v>
      </c>
    </row>
    <row r="131" spans="1:21" x14ac:dyDescent="0.35">
      <c r="A131" t="str">
        <f t="shared" si="5"/>
        <v>ESTUDIO SEGUIMIENTO DESEMPEÑO AMBIENTAL ACUICULTURA EN CHILE Y SU EFECTO EN LOS ECOSISTEMAS DE EMPLAZAMIENTO 2023-2024</v>
      </c>
      <c r="B131" t="str">
        <f t="shared" si="6"/>
        <v>Objetivo 1. Actividad 2. Muestreos y Analisis sedimentos</v>
      </c>
      <c r="C131" t="str">
        <f t="shared" si="7"/>
        <v>Gastón Vidal</v>
      </c>
      <c r="D131" t="str">
        <f t="shared" si="8"/>
        <v>INSTITUTO DE FOMENTO PESQUERO</v>
      </c>
      <c r="E131" s="14" t="s">
        <v>36</v>
      </c>
      <c r="F131" s="15" t="s">
        <v>277</v>
      </c>
      <c r="G131" s="16">
        <v>7</v>
      </c>
      <c r="H131" s="18" t="s">
        <v>280</v>
      </c>
      <c r="I131" s="18" t="s">
        <v>281</v>
      </c>
      <c r="J131" s="23">
        <v>7.1933333333333342</v>
      </c>
      <c r="K131" s="26">
        <v>5.7735026918961348E-3</v>
      </c>
      <c r="L131" s="23">
        <v>11.4</v>
      </c>
      <c r="M131" s="26">
        <v>0.17320508075688709</v>
      </c>
      <c r="N131" s="25">
        <v>291.56666666666666</v>
      </c>
      <c r="O131" s="26">
        <v>16.773888438085354</v>
      </c>
      <c r="P131" s="25">
        <v>23.916666666666668</v>
      </c>
      <c r="Q131" s="24">
        <v>20.457116936003796</v>
      </c>
      <c r="R131" s="23">
        <v>2.124985719181995</v>
      </c>
      <c r="S131" s="49" t="s">
        <v>374</v>
      </c>
      <c r="T131" s="41">
        <v>0.50347222222222221</v>
      </c>
      <c r="U131" s="13">
        <f t="shared" si="9"/>
        <v>7</v>
      </c>
    </row>
    <row r="132" spans="1:21" x14ac:dyDescent="0.35">
      <c r="A132" t="str">
        <f t="shared" si="5"/>
        <v>ESTUDIO SEGUIMIENTO DESEMPEÑO AMBIENTAL ACUICULTURA EN CHILE Y SU EFECTO EN LOS ECOSISTEMAS DE EMPLAZAMIENTO 2023-2024</v>
      </c>
      <c r="B132" t="str">
        <f t="shared" si="6"/>
        <v>Objetivo 1. Actividad 2. Muestreos y Analisis sedimentos</v>
      </c>
      <c r="C132" t="str">
        <f t="shared" si="7"/>
        <v>Gastón Vidal</v>
      </c>
      <c r="D132" t="str">
        <f t="shared" si="8"/>
        <v>INSTITUTO DE FOMENTO PESQUERO</v>
      </c>
      <c r="E132" s="14" t="s">
        <v>36</v>
      </c>
      <c r="F132" s="15" t="s">
        <v>277</v>
      </c>
      <c r="G132" s="16">
        <v>8</v>
      </c>
      <c r="H132" s="18" t="s">
        <v>282</v>
      </c>
      <c r="I132" s="18" t="s">
        <v>283</v>
      </c>
      <c r="J132" s="23">
        <v>7.1833333333333336</v>
      </c>
      <c r="K132" s="26">
        <v>5.7735026918966474E-3</v>
      </c>
      <c r="L132" s="23">
        <v>11.266666666666666</v>
      </c>
      <c r="M132" s="26">
        <v>0.15275252316519508</v>
      </c>
      <c r="N132" s="25">
        <v>187.76666666666665</v>
      </c>
      <c r="O132" s="26">
        <v>23.183255451582575</v>
      </c>
      <c r="P132" s="25">
        <v>73.603333333333339</v>
      </c>
      <c r="Q132" s="24">
        <v>58.767281997156672</v>
      </c>
      <c r="R132" s="23">
        <v>6.4098925603080987</v>
      </c>
      <c r="S132" s="49" t="s">
        <v>374</v>
      </c>
      <c r="T132" s="41" t="s">
        <v>375</v>
      </c>
      <c r="U132" s="13">
        <f t="shared" si="9"/>
        <v>8</v>
      </c>
    </row>
    <row r="133" spans="1:21" x14ac:dyDescent="0.35">
      <c r="A133" t="str">
        <f t="shared" si="5"/>
        <v>ESTUDIO SEGUIMIENTO DESEMPEÑO AMBIENTAL ACUICULTURA EN CHILE Y SU EFECTO EN LOS ECOSISTEMAS DE EMPLAZAMIENTO 2023-2024</v>
      </c>
      <c r="B133" t="str">
        <f t="shared" si="6"/>
        <v>Objetivo 1. Actividad 2. Muestreos y Analisis sedimentos</v>
      </c>
      <c r="C133" t="str">
        <f t="shared" si="7"/>
        <v>Gastón Vidal</v>
      </c>
      <c r="D133" t="str">
        <f t="shared" si="8"/>
        <v>INSTITUTO DE FOMENTO PESQUERO</v>
      </c>
      <c r="E133" s="14" t="s">
        <v>36</v>
      </c>
      <c r="F133" s="15" t="s">
        <v>277</v>
      </c>
      <c r="G133" s="16">
        <v>10</v>
      </c>
      <c r="H133" s="18" t="s">
        <v>284</v>
      </c>
      <c r="I133" s="18" t="s">
        <v>285</v>
      </c>
      <c r="J133" s="23">
        <v>7.1533333333333333</v>
      </c>
      <c r="K133" s="26">
        <v>2.0816659994661382E-2</v>
      </c>
      <c r="L133" s="23">
        <v>11.433333333333332</v>
      </c>
      <c r="M133" s="26">
        <v>0.58594652770823152</v>
      </c>
      <c r="N133" s="25">
        <v>430.5</v>
      </c>
      <c r="O133" s="26">
        <v>47.91534201067546</v>
      </c>
      <c r="P133" s="25">
        <v>0</v>
      </c>
      <c r="Q133" s="24">
        <v>0</v>
      </c>
      <c r="R133" s="23">
        <v>1.0818002230793096</v>
      </c>
      <c r="S133" s="49" t="s">
        <v>374</v>
      </c>
      <c r="T133" s="41">
        <v>0.36180555555555555</v>
      </c>
      <c r="U133" s="13">
        <f t="shared" si="9"/>
        <v>10</v>
      </c>
    </row>
    <row r="134" spans="1:21" x14ac:dyDescent="0.35">
      <c r="A134" t="str">
        <f t="shared" si="5"/>
        <v>ESTUDIO SEGUIMIENTO DESEMPEÑO AMBIENTAL ACUICULTURA EN CHILE Y SU EFECTO EN LOS ECOSISTEMAS DE EMPLAZAMIENTO 2023-2024</v>
      </c>
      <c r="B134" t="str">
        <f t="shared" si="6"/>
        <v>Objetivo 1. Actividad 2. Muestreos y Analisis sedimentos</v>
      </c>
      <c r="C134" t="str">
        <f t="shared" si="7"/>
        <v>Gastón Vidal</v>
      </c>
      <c r="D134" t="str">
        <f t="shared" si="8"/>
        <v>INSTITUTO DE FOMENTO PESQUERO</v>
      </c>
      <c r="E134" s="14" t="s">
        <v>36</v>
      </c>
      <c r="F134" s="15" t="s">
        <v>277</v>
      </c>
      <c r="G134" s="16">
        <v>12</v>
      </c>
      <c r="H134" s="18" t="s">
        <v>286</v>
      </c>
      <c r="I134" s="18" t="s">
        <v>287</v>
      </c>
      <c r="J134" s="23">
        <v>7.2433333333333332</v>
      </c>
      <c r="K134" s="26">
        <v>2.5166114784235707E-2</v>
      </c>
      <c r="L134" s="23">
        <v>11.6</v>
      </c>
      <c r="M134" s="26">
        <v>0.34641016151377524</v>
      </c>
      <c r="N134" s="25">
        <v>290.96666666666664</v>
      </c>
      <c r="O134" s="26">
        <v>38.723937471974153</v>
      </c>
      <c r="P134" s="25">
        <v>73.953333333333333</v>
      </c>
      <c r="Q134" s="24">
        <v>20.068892180021574</v>
      </c>
      <c r="R134" s="23">
        <v>7.7459951698313594</v>
      </c>
      <c r="S134" s="49" t="s">
        <v>373</v>
      </c>
      <c r="T134" s="41">
        <v>0.44444444444444442</v>
      </c>
      <c r="U134" s="13">
        <f t="shared" si="9"/>
        <v>12</v>
      </c>
    </row>
    <row r="135" spans="1:21" x14ac:dyDescent="0.35">
      <c r="A135" t="str">
        <f t="shared" si="5"/>
        <v>ESTUDIO SEGUIMIENTO DESEMPEÑO AMBIENTAL ACUICULTURA EN CHILE Y SU EFECTO EN LOS ECOSISTEMAS DE EMPLAZAMIENTO 2023-2024</v>
      </c>
      <c r="B135" t="str">
        <f t="shared" si="6"/>
        <v>Objetivo 1. Actividad 2. Muestreos y Analisis sedimentos</v>
      </c>
      <c r="C135" t="str">
        <f t="shared" si="7"/>
        <v>Gastón Vidal</v>
      </c>
      <c r="D135" t="str">
        <f t="shared" si="8"/>
        <v>INSTITUTO DE FOMENTO PESQUERO</v>
      </c>
      <c r="E135" s="14" t="s">
        <v>36</v>
      </c>
      <c r="F135" s="15" t="s">
        <v>288</v>
      </c>
      <c r="G135" s="16">
        <v>1</v>
      </c>
      <c r="H135" s="18" t="s">
        <v>289</v>
      </c>
      <c r="I135" s="18" t="s">
        <v>290</v>
      </c>
      <c r="J135" s="23">
        <v>7.626666666666666</v>
      </c>
      <c r="K135" s="26">
        <v>0.14640127503998507</v>
      </c>
      <c r="L135" s="23">
        <v>13</v>
      </c>
      <c r="M135" s="26">
        <v>0.78102496759066575</v>
      </c>
      <c r="N135" s="25">
        <v>70.466666666666654</v>
      </c>
      <c r="O135" s="26">
        <v>20.657766900934252</v>
      </c>
      <c r="P135" s="25">
        <v>12.483333333333334</v>
      </c>
      <c r="Q135" s="26">
        <v>16.74545410949889</v>
      </c>
      <c r="R135" s="23">
        <v>7.8235460458101809</v>
      </c>
      <c r="S135" s="40" t="s">
        <v>376</v>
      </c>
      <c r="T135" s="41">
        <v>0.71875</v>
      </c>
      <c r="U135" s="13">
        <f t="shared" si="9"/>
        <v>1</v>
      </c>
    </row>
    <row r="136" spans="1:21" x14ac:dyDescent="0.35">
      <c r="A136" t="str">
        <f t="shared" si="5"/>
        <v>ESTUDIO SEGUIMIENTO DESEMPEÑO AMBIENTAL ACUICULTURA EN CHILE Y SU EFECTO EN LOS ECOSISTEMAS DE EMPLAZAMIENTO 2023-2024</v>
      </c>
      <c r="B136" t="str">
        <f t="shared" si="6"/>
        <v>Objetivo 1. Actividad 2. Muestreos y Analisis sedimentos</v>
      </c>
      <c r="C136" t="str">
        <f t="shared" si="7"/>
        <v>Gastón Vidal</v>
      </c>
      <c r="D136" t="str">
        <f t="shared" si="8"/>
        <v>INSTITUTO DE FOMENTO PESQUERO</v>
      </c>
      <c r="E136" s="14" t="s">
        <v>36</v>
      </c>
      <c r="F136" s="15" t="s">
        <v>288</v>
      </c>
      <c r="G136" s="16">
        <v>3</v>
      </c>
      <c r="H136" s="18" t="s">
        <v>291</v>
      </c>
      <c r="I136" s="18" t="s">
        <v>292</v>
      </c>
      <c r="J136" s="23">
        <v>7.8166666666666664</v>
      </c>
      <c r="K136" s="26">
        <v>6.1101009266077921E-2</v>
      </c>
      <c r="L136" s="23">
        <v>14.5</v>
      </c>
      <c r="M136" s="26">
        <v>0.19999999999999929</v>
      </c>
      <c r="N136" s="25">
        <v>270.86666666666662</v>
      </c>
      <c r="O136" s="26">
        <v>23.861545074310104</v>
      </c>
      <c r="P136" s="25">
        <v>3.3333333333333333E-2</v>
      </c>
      <c r="Q136" s="24">
        <v>5.7735026918962581E-2</v>
      </c>
      <c r="R136" s="23">
        <v>1.6238239346231516</v>
      </c>
      <c r="S136" s="40" t="s">
        <v>376</v>
      </c>
      <c r="T136" s="41">
        <v>0.55555555555555558</v>
      </c>
      <c r="U136" s="13">
        <f t="shared" si="9"/>
        <v>3</v>
      </c>
    </row>
    <row r="137" spans="1:21" x14ac:dyDescent="0.35">
      <c r="A137" t="str">
        <f t="shared" si="5"/>
        <v>ESTUDIO SEGUIMIENTO DESEMPEÑO AMBIENTAL ACUICULTURA EN CHILE Y SU EFECTO EN LOS ECOSISTEMAS DE EMPLAZAMIENTO 2023-2024</v>
      </c>
      <c r="B137" t="str">
        <f t="shared" si="6"/>
        <v>Objetivo 1. Actividad 2. Muestreos y Analisis sedimentos</v>
      </c>
      <c r="C137" t="str">
        <f t="shared" si="7"/>
        <v>Gastón Vidal</v>
      </c>
      <c r="D137" t="str">
        <f t="shared" si="8"/>
        <v>INSTITUTO DE FOMENTO PESQUERO</v>
      </c>
      <c r="E137" s="14" t="s">
        <v>36</v>
      </c>
      <c r="F137" s="15" t="s">
        <v>288</v>
      </c>
      <c r="G137" s="16">
        <v>5</v>
      </c>
      <c r="H137" s="18" t="s">
        <v>293</v>
      </c>
      <c r="I137" s="18" t="s">
        <v>294</v>
      </c>
      <c r="J137" s="23">
        <v>7.55</v>
      </c>
      <c r="K137" s="26">
        <v>8.9999999999999858E-2</v>
      </c>
      <c r="L137" s="23">
        <v>14.233333333333333</v>
      </c>
      <c r="M137" s="26">
        <v>0.65064070986477152</v>
      </c>
      <c r="N137" s="25">
        <v>205.96666666666667</v>
      </c>
      <c r="O137" s="26">
        <v>86.022109561050272</v>
      </c>
      <c r="P137" s="25">
        <v>231.97666666666669</v>
      </c>
      <c r="Q137" s="24">
        <v>54.689372215571424</v>
      </c>
      <c r="R137" s="23">
        <v>1.8787886722790237</v>
      </c>
      <c r="S137" s="40">
        <v>45058</v>
      </c>
      <c r="T137" s="41">
        <v>0.66875000000000007</v>
      </c>
      <c r="U137" s="13">
        <f t="shared" si="9"/>
        <v>5</v>
      </c>
    </row>
    <row r="138" spans="1:21" x14ac:dyDescent="0.35">
      <c r="A138" t="str">
        <f t="shared" si="5"/>
        <v>ESTUDIO SEGUIMIENTO DESEMPEÑO AMBIENTAL ACUICULTURA EN CHILE Y SU EFECTO EN LOS ECOSISTEMAS DE EMPLAZAMIENTO 2023-2024</v>
      </c>
      <c r="B138" t="str">
        <f t="shared" si="6"/>
        <v>Objetivo 1. Actividad 2. Muestreos y Analisis sedimentos</v>
      </c>
      <c r="C138" t="str">
        <f t="shared" si="7"/>
        <v>Gastón Vidal</v>
      </c>
      <c r="D138" t="str">
        <f t="shared" si="8"/>
        <v>INSTITUTO DE FOMENTO PESQUERO</v>
      </c>
      <c r="E138" s="14" t="s">
        <v>36</v>
      </c>
      <c r="F138" s="15" t="s">
        <v>288</v>
      </c>
      <c r="G138" s="16">
        <v>6</v>
      </c>
      <c r="H138" s="18" t="s">
        <v>295</v>
      </c>
      <c r="I138" s="18" t="s">
        <v>296</v>
      </c>
      <c r="J138" s="23">
        <v>7.373333333333334</v>
      </c>
      <c r="K138" s="26">
        <v>0.10408329997330677</v>
      </c>
      <c r="L138" s="23">
        <v>12.6</v>
      </c>
      <c r="M138" s="26">
        <v>9.9999999999999645E-2</v>
      </c>
      <c r="N138" s="25">
        <v>361.06666666666666</v>
      </c>
      <c r="O138" s="26">
        <v>69.783546293760011</v>
      </c>
      <c r="P138" s="25">
        <v>9.8699999999999992</v>
      </c>
      <c r="Q138" s="24">
        <v>16.956921890484722</v>
      </c>
      <c r="R138" s="23">
        <v>1.1814866183798063</v>
      </c>
      <c r="S138" s="40" t="s">
        <v>377</v>
      </c>
      <c r="T138" s="41">
        <v>0.3263888888888889</v>
      </c>
      <c r="U138" s="13">
        <f t="shared" si="9"/>
        <v>6</v>
      </c>
    </row>
    <row r="139" spans="1:21" x14ac:dyDescent="0.35">
      <c r="A139" t="str">
        <f t="shared" si="5"/>
        <v>ESTUDIO SEGUIMIENTO DESEMPEÑO AMBIENTAL ACUICULTURA EN CHILE Y SU EFECTO EN LOS ECOSISTEMAS DE EMPLAZAMIENTO 2023-2024</v>
      </c>
      <c r="B139" t="str">
        <f t="shared" si="6"/>
        <v>Objetivo 1. Actividad 2. Muestreos y Analisis sedimentos</v>
      </c>
      <c r="C139" t="str">
        <f t="shared" si="7"/>
        <v>Gastón Vidal</v>
      </c>
      <c r="D139" t="str">
        <f t="shared" si="8"/>
        <v>INSTITUTO DE FOMENTO PESQUERO</v>
      </c>
      <c r="E139" s="14" t="s">
        <v>36</v>
      </c>
      <c r="F139" s="15" t="s">
        <v>288</v>
      </c>
      <c r="G139" s="16">
        <v>7</v>
      </c>
      <c r="H139" s="18" t="s">
        <v>297</v>
      </c>
      <c r="I139" s="18" t="s">
        <v>298</v>
      </c>
      <c r="J139" s="23">
        <v>7.4733333333333336</v>
      </c>
      <c r="K139" s="26">
        <v>5.0332229568471533E-2</v>
      </c>
      <c r="L139" s="23">
        <v>13.033333333333331</v>
      </c>
      <c r="M139" s="26">
        <v>0.30550504633039</v>
      </c>
      <c r="N139" s="25">
        <v>295.73333333333335</v>
      </c>
      <c r="O139" s="26">
        <v>30.884354183523609</v>
      </c>
      <c r="P139" s="25">
        <v>154.72</v>
      </c>
      <c r="Q139" s="24">
        <v>48.724815032999459</v>
      </c>
      <c r="R139" s="23">
        <v>3.6816689811892411</v>
      </c>
      <c r="S139" s="40" t="s">
        <v>377</v>
      </c>
      <c r="T139" s="41">
        <v>0.46180555555555558</v>
      </c>
      <c r="U139" s="13">
        <f t="shared" si="9"/>
        <v>7</v>
      </c>
    </row>
    <row r="140" spans="1:21" x14ac:dyDescent="0.35">
      <c r="A140" t="str">
        <f t="shared" si="5"/>
        <v>ESTUDIO SEGUIMIENTO DESEMPEÑO AMBIENTAL ACUICULTURA EN CHILE Y SU EFECTO EN LOS ECOSISTEMAS DE EMPLAZAMIENTO 2023-2024</v>
      </c>
      <c r="B140" t="str">
        <f t="shared" si="6"/>
        <v>Objetivo 1. Actividad 2. Muestreos y Analisis sedimentos</v>
      </c>
      <c r="C140" t="str">
        <f t="shared" si="7"/>
        <v>Gastón Vidal</v>
      </c>
      <c r="D140" t="str">
        <f t="shared" si="8"/>
        <v>INSTITUTO DE FOMENTO PESQUERO</v>
      </c>
      <c r="E140" s="14" t="s">
        <v>36</v>
      </c>
      <c r="F140" s="15" t="s">
        <v>288</v>
      </c>
      <c r="G140" s="16">
        <v>10</v>
      </c>
      <c r="H140" s="18" t="s">
        <v>299</v>
      </c>
      <c r="I140" s="18" t="s">
        <v>300</v>
      </c>
      <c r="J140" s="23">
        <v>7.46</v>
      </c>
      <c r="K140" s="26">
        <v>0.10440306508910562</v>
      </c>
      <c r="L140" s="23">
        <v>13.066666666666668</v>
      </c>
      <c r="M140" s="26">
        <v>0.56862407030773232</v>
      </c>
      <c r="N140" s="25">
        <v>202.56666666666669</v>
      </c>
      <c r="O140" s="26">
        <v>42.299093764918098</v>
      </c>
      <c r="P140" s="25">
        <v>42.563333333333333</v>
      </c>
      <c r="Q140" s="24">
        <v>19.949389297252523</v>
      </c>
      <c r="R140" s="23">
        <v>3.6768056923597094</v>
      </c>
      <c r="S140" s="40" t="s">
        <v>378</v>
      </c>
      <c r="T140" s="41">
        <v>0.50138888888888888</v>
      </c>
      <c r="U140" s="13">
        <f t="shared" si="9"/>
        <v>10</v>
      </c>
    </row>
    <row r="141" spans="1:21" x14ac:dyDescent="0.35">
      <c r="A141" t="str">
        <f t="shared" si="5"/>
        <v>ESTUDIO SEGUIMIENTO DESEMPEÑO AMBIENTAL ACUICULTURA EN CHILE Y SU EFECTO EN LOS ECOSISTEMAS DE EMPLAZAMIENTO 2023-2024</v>
      </c>
      <c r="B141" t="str">
        <f t="shared" si="6"/>
        <v>Objetivo 1. Actividad 2. Muestreos y Analisis sedimentos</v>
      </c>
      <c r="C141" t="str">
        <f t="shared" si="7"/>
        <v>Gastón Vidal</v>
      </c>
      <c r="D141" t="str">
        <f t="shared" si="8"/>
        <v>INSTITUTO DE FOMENTO PESQUERO</v>
      </c>
      <c r="E141" s="14" t="s">
        <v>36</v>
      </c>
      <c r="F141" s="15" t="s">
        <v>288</v>
      </c>
      <c r="G141" s="16">
        <v>11</v>
      </c>
      <c r="H141" s="18" t="s">
        <v>301</v>
      </c>
      <c r="I141" s="18" t="s">
        <v>302</v>
      </c>
      <c r="J141" s="23" t="s">
        <v>351</v>
      </c>
      <c r="K141" s="26" t="s">
        <v>351</v>
      </c>
      <c r="L141" s="23" t="s">
        <v>351</v>
      </c>
      <c r="M141" s="26" t="s">
        <v>351</v>
      </c>
      <c r="N141" s="23" t="s">
        <v>351</v>
      </c>
      <c r="O141" s="26" t="s">
        <v>351</v>
      </c>
      <c r="P141" s="23" t="s">
        <v>351</v>
      </c>
      <c r="Q141" s="26" t="s">
        <v>351</v>
      </c>
      <c r="R141" s="23" t="s">
        <v>351</v>
      </c>
      <c r="S141" s="40" t="s">
        <v>351</v>
      </c>
      <c r="T141" s="41" t="s">
        <v>351</v>
      </c>
      <c r="U141" s="13">
        <f t="shared" si="9"/>
        <v>11</v>
      </c>
    </row>
    <row r="142" spans="1:21" x14ac:dyDescent="0.35">
      <c r="A142" t="str">
        <f t="shared" si="5"/>
        <v>ESTUDIO SEGUIMIENTO DESEMPEÑO AMBIENTAL ACUICULTURA EN CHILE Y SU EFECTO EN LOS ECOSISTEMAS DE EMPLAZAMIENTO 2023-2024</v>
      </c>
      <c r="B142" t="str">
        <f t="shared" si="6"/>
        <v>Objetivo 1. Actividad 2. Muestreos y Analisis sedimentos</v>
      </c>
      <c r="C142" t="str">
        <f t="shared" si="7"/>
        <v>Gastón Vidal</v>
      </c>
      <c r="D142" t="str">
        <f t="shared" si="8"/>
        <v>INSTITUTO DE FOMENTO PESQUERO</v>
      </c>
      <c r="E142" s="14" t="s">
        <v>36</v>
      </c>
      <c r="F142" s="15" t="s">
        <v>288</v>
      </c>
      <c r="G142" s="16">
        <v>13</v>
      </c>
      <c r="H142" s="18" t="s">
        <v>303</v>
      </c>
      <c r="I142" s="18" t="s">
        <v>304</v>
      </c>
      <c r="J142" s="23">
        <v>7.0733333333333333</v>
      </c>
      <c r="K142" s="26">
        <v>5.1316014394468729E-2</v>
      </c>
      <c r="L142" s="23">
        <v>11.799999999999999</v>
      </c>
      <c r="M142" s="26">
        <v>0.20000000000000018</v>
      </c>
      <c r="N142" s="25">
        <v>373.06666666666666</v>
      </c>
      <c r="O142" s="26">
        <v>19.635766685651301</v>
      </c>
      <c r="P142" s="25">
        <v>0</v>
      </c>
      <c r="Q142" s="24">
        <v>0</v>
      </c>
      <c r="R142" s="23">
        <v>2.4231610452400232</v>
      </c>
      <c r="S142" s="40" t="s">
        <v>379</v>
      </c>
      <c r="T142" s="41">
        <v>0.61249999999999993</v>
      </c>
      <c r="U142" s="13">
        <f t="shared" si="9"/>
        <v>13</v>
      </c>
    </row>
    <row r="143" spans="1:21" x14ac:dyDescent="0.35">
      <c r="A143" t="str">
        <f t="shared" si="5"/>
        <v>ESTUDIO SEGUIMIENTO DESEMPEÑO AMBIENTAL ACUICULTURA EN CHILE Y SU EFECTO EN LOS ECOSISTEMAS DE EMPLAZAMIENTO 2023-2024</v>
      </c>
      <c r="B143" t="str">
        <f t="shared" si="6"/>
        <v>Objetivo 1. Actividad 2. Muestreos y Analisis sedimentos</v>
      </c>
      <c r="C143" t="str">
        <f t="shared" si="7"/>
        <v>Gastón Vidal</v>
      </c>
      <c r="D143" t="str">
        <f t="shared" si="8"/>
        <v>INSTITUTO DE FOMENTO PESQUERO</v>
      </c>
      <c r="E143" s="14" t="s">
        <v>36</v>
      </c>
      <c r="F143" s="15" t="s">
        <v>288</v>
      </c>
      <c r="G143" s="16">
        <v>18</v>
      </c>
      <c r="H143" s="18" t="s">
        <v>305</v>
      </c>
      <c r="I143" s="18" t="s">
        <v>306</v>
      </c>
      <c r="J143" s="23">
        <v>7.22</v>
      </c>
      <c r="K143" s="26">
        <v>9.6436507609929514E-2</v>
      </c>
      <c r="L143" s="23">
        <v>11.966666666666667</v>
      </c>
      <c r="M143" s="26">
        <v>0.40414518843273833</v>
      </c>
      <c r="N143" s="25">
        <v>341.16666666666669</v>
      </c>
      <c r="O143" s="26">
        <v>13.705959774249077</v>
      </c>
      <c r="P143" s="25">
        <v>6.6666666666666671E-3</v>
      </c>
      <c r="Q143" s="24">
        <v>5.773502691896258E-3</v>
      </c>
      <c r="R143" s="23">
        <v>1.6617694611199101</v>
      </c>
      <c r="S143" s="40" t="s">
        <v>379</v>
      </c>
      <c r="T143" s="41">
        <v>0.54513888888888895</v>
      </c>
      <c r="U143" s="13">
        <f t="shared" si="9"/>
        <v>18</v>
      </c>
    </row>
    <row r="144" spans="1:21" x14ac:dyDescent="0.35">
      <c r="A144" t="str">
        <f t="shared" si="5"/>
        <v>ESTUDIO SEGUIMIENTO DESEMPEÑO AMBIENTAL ACUICULTURA EN CHILE Y SU EFECTO EN LOS ECOSISTEMAS DE EMPLAZAMIENTO 2023-2024</v>
      </c>
      <c r="B144" t="str">
        <f t="shared" si="6"/>
        <v>Objetivo 1. Actividad 2. Muestreos y Analisis sedimentos</v>
      </c>
      <c r="C144" t="str">
        <f t="shared" si="7"/>
        <v>Gastón Vidal</v>
      </c>
      <c r="D144" t="str">
        <f t="shared" si="8"/>
        <v>INSTITUTO DE FOMENTO PESQUERO</v>
      </c>
      <c r="E144" s="14" t="s">
        <v>36</v>
      </c>
      <c r="F144" s="15" t="s">
        <v>288</v>
      </c>
      <c r="G144" s="16">
        <v>19</v>
      </c>
      <c r="H144" s="18" t="s">
        <v>307</v>
      </c>
      <c r="I144" s="18" t="s">
        <v>308</v>
      </c>
      <c r="J144" s="23">
        <v>7.1633333333333331</v>
      </c>
      <c r="K144" s="26">
        <v>9.073771725877508E-2</v>
      </c>
      <c r="L144" s="23">
        <v>11.9</v>
      </c>
      <c r="M144" s="26">
        <v>9.9999999999999645E-2</v>
      </c>
      <c r="N144" s="25">
        <v>384.43333333333334</v>
      </c>
      <c r="O144" s="26">
        <v>6.6890457715083027</v>
      </c>
      <c r="P144" s="25">
        <v>0</v>
      </c>
      <c r="Q144" s="24">
        <v>0</v>
      </c>
      <c r="R144" s="23">
        <v>1.9147071036402141</v>
      </c>
      <c r="S144" s="40" t="s">
        <v>379</v>
      </c>
      <c r="T144" s="41">
        <v>0.49791666666666662</v>
      </c>
      <c r="U144" s="13">
        <f t="shared" si="9"/>
        <v>19</v>
      </c>
    </row>
    <row r="145" spans="1:21" x14ac:dyDescent="0.35">
      <c r="A145" t="str">
        <f t="shared" si="5"/>
        <v>ESTUDIO SEGUIMIENTO DESEMPEÑO AMBIENTAL ACUICULTURA EN CHILE Y SU EFECTO EN LOS ECOSISTEMAS DE EMPLAZAMIENTO 2023-2024</v>
      </c>
      <c r="B145" t="str">
        <f t="shared" si="6"/>
        <v>Objetivo 1. Actividad 2. Muestreos y Analisis sedimentos</v>
      </c>
      <c r="C145" t="str">
        <f t="shared" si="7"/>
        <v>Gastón Vidal</v>
      </c>
      <c r="D145" t="str">
        <f t="shared" si="8"/>
        <v>INSTITUTO DE FOMENTO PESQUERO</v>
      </c>
      <c r="E145" s="14" t="s">
        <v>36</v>
      </c>
      <c r="F145" s="15" t="s">
        <v>288</v>
      </c>
      <c r="G145" s="16">
        <v>24</v>
      </c>
      <c r="H145" s="18" t="s">
        <v>309</v>
      </c>
      <c r="I145" s="18" t="s">
        <v>310</v>
      </c>
      <c r="J145" s="23">
        <v>7.0933333333333337</v>
      </c>
      <c r="K145" s="26">
        <v>4.0414518843273822E-2</v>
      </c>
      <c r="L145" s="23">
        <v>12.133333333333333</v>
      </c>
      <c r="M145" s="26">
        <v>0.32145502536643167</v>
      </c>
      <c r="N145" s="25">
        <v>403</v>
      </c>
      <c r="O145" s="26">
        <v>19.445565047074364</v>
      </c>
      <c r="P145" s="25">
        <v>19.176666666666666</v>
      </c>
      <c r="Q145" s="24">
        <v>5.4153516352433808</v>
      </c>
      <c r="R145" s="23">
        <v>0.94954310687326016</v>
      </c>
      <c r="S145" s="18" t="s">
        <v>379</v>
      </c>
      <c r="T145" s="41">
        <v>0.35416666666666669</v>
      </c>
      <c r="U145" s="13">
        <f t="shared" si="9"/>
        <v>24</v>
      </c>
    </row>
    <row r="146" spans="1:21" x14ac:dyDescent="0.35">
      <c r="A146" t="str">
        <f t="shared" ref="A146:A164" si="10">$B$1</f>
        <v>ESTUDIO SEGUIMIENTO DESEMPEÑO AMBIENTAL ACUICULTURA EN CHILE Y SU EFECTO EN LOS ECOSISTEMAS DE EMPLAZAMIENTO 2023-2024</v>
      </c>
      <c r="B146" t="str">
        <f t="shared" ref="B146:B164" si="11">$B$2</f>
        <v>Objetivo 1. Actividad 2. Muestreos y Analisis sedimentos</v>
      </c>
      <c r="C146" t="str">
        <f t="shared" ref="C146:C164" si="12">$B$3</f>
        <v>Gastón Vidal</v>
      </c>
      <c r="D146" t="str">
        <f t="shared" ref="D146:D164" si="13">$B$4</f>
        <v>INSTITUTO DE FOMENTO PESQUERO</v>
      </c>
      <c r="E146" s="14" t="s">
        <v>36</v>
      </c>
      <c r="F146" s="15" t="s">
        <v>288</v>
      </c>
      <c r="G146" s="16">
        <v>25</v>
      </c>
      <c r="H146" s="18" t="s">
        <v>311</v>
      </c>
      <c r="I146" s="18" t="s">
        <v>312</v>
      </c>
      <c r="J146" s="23">
        <v>7.29</v>
      </c>
      <c r="K146" s="26">
        <v>9.1651513899116688E-2</v>
      </c>
      <c r="L146" s="23">
        <v>12.633333333333335</v>
      </c>
      <c r="M146" s="26">
        <v>0.49328828623162402</v>
      </c>
      <c r="N146" s="25">
        <v>348.13333333333338</v>
      </c>
      <c r="O146" s="26">
        <v>7.0465121395860422</v>
      </c>
      <c r="P146" s="25">
        <v>3.3333333333333335E-3</v>
      </c>
      <c r="Q146" s="24">
        <v>5.773502691896258E-3</v>
      </c>
      <c r="R146" s="23">
        <v>0.82424886998135638</v>
      </c>
      <c r="S146" s="40" t="s">
        <v>370</v>
      </c>
      <c r="T146" s="41">
        <v>0.70138888888888884</v>
      </c>
      <c r="U146" s="13">
        <f t="shared" ref="U146:U164" si="14">G146</f>
        <v>25</v>
      </c>
    </row>
    <row r="147" spans="1:21" x14ac:dyDescent="0.35">
      <c r="A147" t="str">
        <f t="shared" si="10"/>
        <v>ESTUDIO SEGUIMIENTO DESEMPEÑO AMBIENTAL ACUICULTURA EN CHILE Y SU EFECTO EN LOS ECOSISTEMAS DE EMPLAZAMIENTO 2023-2024</v>
      </c>
      <c r="B147" t="str">
        <f t="shared" si="11"/>
        <v>Objetivo 1. Actividad 2. Muestreos y Analisis sedimentos</v>
      </c>
      <c r="C147" t="str">
        <f t="shared" si="12"/>
        <v>Gastón Vidal</v>
      </c>
      <c r="D147" t="str">
        <f t="shared" si="13"/>
        <v>INSTITUTO DE FOMENTO PESQUERO</v>
      </c>
      <c r="E147" s="14" t="s">
        <v>36</v>
      </c>
      <c r="F147" s="15" t="s">
        <v>288</v>
      </c>
      <c r="G147" s="16">
        <v>28</v>
      </c>
      <c r="H147" s="18" t="s">
        <v>313</v>
      </c>
      <c r="I147" s="18" t="s">
        <v>314</v>
      </c>
      <c r="J147" s="23">
        <v>7.1366666666666667</v>
      </c>
      <c r="K147" s="26">
        <v>0.20305992547357382</v>
      </c>
      <c r="L147" s="23">
        <v>12.566666666666668</v>
      </c>
      <c r="M147" s="26">
        <v>0.20816659994661355</v>
      </c>
      <c r="N147" s="25">
        <v>352.86666666666662</v>
      </c>
      <c r="O147" s="26">
        <v>10.744921280927706</v>
      </c>
      <c r="P147" s="25">
        <v>0</v>
      </c>
      <c r="Q147" s="24">
        <v>0</v>
      </c>
      <c r="R147" s="23">
        <v>0.92959463578177304</v>
      </c>
      <c r="S147" s="40" t="s">
        <v>370</v>
      </c>
      <c r="T147" s="41">
        <v>0.62638888888888888</v>
      </c>
      <c r="U147" s="13">
        <f t="shared" si="14"/>
        <v>28</v>
      </c>
    </row>
    <row r="148" spans="1:21" x14ac:dyDescent="0.35">
      <c r="A148" t="str">
        <f t="shared" si="10"/>
        <v>ESTUDIO SEGUIMIENTO DESEMPEÑO AMBIENTAL ACUICULTURA EN CHILE Y SU EFECTO EN LOS ECOSISTEMAS DE EMPLAZAMIENTO 2023-2024</v>
      </c>
      <c r="B148" t="str">
        <f t="shared" si="11"/>
        <v>Objetivo 1. Actividad 2. Muestreos y Analisis sedimentos</v>
      </c>
      <c r="C148" t="str">
        <f t="shared" si="12"/>
        <v>Gastón Vidal</v>
      </c>
      <c r="D148" t="str">
        <f t="shared" si="13"/>
        <v>INSTITUTO DE FOMENTO PESQUERO</v>
      </c>
      <c r="E148" s="14" t="s">
        <v>36</v>
      </c>
      <c r="F148" s="15" t="s">
        <v>288</v>
      </c>
      <c r="G148" s="16">
        <v>30</v>
      </c>
      <c r="H148" s="18" t="s">
        <v>315</v>
      </c>
      <c r="I148" s="18" t="s">
        <v>316</v>
      </c>
      <c r="J148" s="23">
        <v>7.2233333333333336</v>
      </c>
      <c r="K148" s="26">
        <v>8.6216781042517079E-2</v>
      </c>
      <c r="L148" s="23">
        <v>13.633333333333335</v>
      </c>
      <c r="M148" s="26">
        <v>0.20816659994661327</v>
      </c>
      <c r="N148" s="25">
        <v>92.899999999999991</v>
      </c>
      <c r="O148" s="26">
        <v>22.949727667229567</v>
      </c>
      <c r="P148" s="25">
        <v>0.01</v>
      </c>
      <c r="Q148" s="24">
        <v>1.7320508075688773E-2</v>
      </c>
      <c r="R148" s="23">
        <v>0.82717936112685353</v>
      </c>
      <c r="S148" s="40" t="s">
        <v>370</v>
      </c>
      <c r="T148" s="41">
        <v>0.55277777777777781</v>
      </c>
      <c r="U148" s="13">
        <f t="shared" si="14"/>
        <v>30</v>
      </c>
    </row>
    <row r="149" spans="1:21" x14ac:dyDescent="0.35">
      <c r="A149" t="str">
        <f t="shared" si="10"/>
        <v>ESTUDIO SEGUIMIENTO DESEMPEÑO AMBIENTAL ACUICULTURA EN CHILE Y SU EFECTO EN LOS ECOSISTEMAS DE EMPLAZAMIENTO 2023-2024</v>
      </c>
      <c r="B149" t="str">
        <f t="shared" si="11"/>
        <v>Objetivo 1. Actividad 2. Muestreos y Analisis sedimentos</v>
      </c>
      <c r="C149" t="str">
        <f t="shared" si="12"/>
        <v>Gastón Vidal</v>
      </c>
      <c r="D149" t="str">
        <f t="shared" si="13"/>
        <v>INSTITUTO DE FOMENTO PESQUERO</v>
      </c>
      <c r="E149" s="14" t="s">
        <v>36</v>
      </c>
      <c r="F149" s="15" t="s">
        <v>288</v>
      </c>
      <c r="G149" s="20">
        <v>34</v>
      </c>
      <c r="H149" s="21" t="s">
        <v>317</v>
      </c>
      <c r="I149" s="21" t="s">
        <v>318</v>
      </c>
      <c r="J149" s="27">
        <v>7.3033333333333337</v>
      </c>
      <c r="K149" s="28">
        <v>0.12662279942148388</v>
      </c>
      <c r="L149" s="27">
        <v>12.766666666666666</v>
      </c>
      <c r="M149" s="28">
        <v>0.6350852961085881</v>
      </c>
      <c r="N149" s="29">
        <v>394.43333333333339</v>
      </c>
      <c r="O149" s="28">
        <v>53.687366608293289</v>
      </c>
      <c r="P149" s="29">
        <v>80.709999999999994</v>
      </c>
      <c r="Q149" s="28">
        <v>48.964865975513504</v>
      </c>
      <c r="R149" s="27">
        <v>1.1470135683312457</v>
      </c>
      <c r="S149" s="42" t="s">
        <v>380</v>
      </c>
      <c r="T149" s="43">
        <v>0.52430555555555558</v>
      </c>
      <c r="U149" s="13">
        <f t="shared" si="14"/>
        <v>34</v>
      </c>
    </row>
    <row r="150" spans="1:21" x14ac:dyDescent="0.35">
      <c r="A150" t="str">
        <f t="shared" si="10"/>
        <v>ESTUDIO SEGUIMIENTO DESEMPEÑO AMBIENTAL ACUICULTURA EN CHILE Y SU EFECTO EN LOS ECOSISTEMAS DE EMPLAZAMIENTO 2023-2024</v>
      </c>
      <c r="B150" t="str">
        <f t="shared" si="11"/>
        <v>Objetivo 1. Actividad 2. Muestreos y Analisis sedimentos</v>
      </c>
      <c r="C150" t="str">
        <f t="shared" si="12"/>
        <v>Gastón Vidal</v>
      </c>
      <c r="D150" t="str">
        <f t="shared" si="13"/>
        <v>INSTITUTO DE FOMENTO PESQUERO</v>
      </c>
      <c r="E150" s="14" t="s">
        <v>36</v>
      </c>
      <c r="F150" s="15" t="s">
        <v>319</v>
      </c>
      <c r="G150" s="16">
        <v>1</v>
      </c>
      <c r="H150" s="18" t="s">
        <v>320</v>
      </c>
      <c r="I150" s="18" t="s">
        <v>321</v>
      </c>
      <c r="J150" s="23">
        <v>7.79</v>
      </c>
      <c r="K150" s="26">
        <v>7.2111025509279725E-2</v>
      </c>
      <c r="L150" s="23">
        <v>13.9</v>
      </c>
      <c r="M150" s="26">
        <v>9.9999999999999645E-2</v>
      </c>
      <c r="N150" s="25">
        <v>484.4666666666667</v>
      </c>
      <c r="O150" s="26">
        <v>23.703445600446631</v>
      </c>
      <c r="P150" s="25">
        <v>0.32697500647129607</v>
      </c>
      <c r="Q150" s="26">
        <v>0.44546820024045264</v>
      </c>
      <c r="R150" s="23">
        <v>1.0188438951911645</v>
      </c>
      <c r="S150" s="40">
        <v>45128</v>
      </c>
      <c r="T150" s="41">
        <v>0.40277777777777773</v>
      </c>
      <c r="U150" s="13">
        <f t="shared" si="14"/>
        <v>1</v>
      </c>
    </row>
    <row r="151" spans="1:21" x14ac:dyDescent="0.35">
      <c r="A151" t="str">
        <f t="shared" si="10"/>
        <v>ESTUDIO SEGUIMIENTO DESEMPEÑO AMBIENTAL ACUICULTURA EN CHILE Y SU EFECTO EN LOS ECOSISTEMAS DE EMPLAZAMIENTO 2023-2024</v>
      </c>
      <c r="B151" t="str">
        <f t="shared" si="11"/>
        <v>Objetivo 1. Actividad 2. Muestreos y Analisis sedimentos</v>
      </c>
      <c r="C151" t="str">
        <f t="shared" si="12"/>
        <v>Gastón Vidal</v>
      </c>
      <c r="D151" t="str">
        <f t="shared" si="13"/>
        <v>INSTITUTO DE FOMENTO PESQUERO</v>
      </c>
      <c r="E151" s="14" t="s">
        <v>36</v>
      </c>
      <c r="F151" s="15" t="s">
        <v>319</v>
      </c>
      <c r="G151" s="16">
        <v>4</v>
      </c>
      <c r="H151" s="18" t="s">
        <v>322</v>
      </c>
      <c r="I151" s="18" t="s">
        <v>323</v>
      </c>
      <c r="J151" s="23">
        <v>7.5066666666666677</v>
      </c>
      <c r="K151" s="26">
        <v>7.0237691685684778E-2</v>
      </c>
      <c r="L151" s="23">
        <v>14.166666666666666</v>
      </c>
      <c r="M151" s="26">
        <v>5.7735026918962373E-2</v>
      </c>
      <c r="N151" s="25">
        <v>306.76666666666671</v>
      </c>
      <c r="O151" s="26">
        <v>15.766525721709693</v>
      </c>
      <c r="P151" s="25">
        <v>38.398754689075261</v>
      </c>
      <c r="Q151" s="37">
        <v>7.1614520175165595</v>
      </c>
      <c r="R151" s="23">
        <v>1.2054808848909815</v>
      </c>
      <c r="S151" s="42">
        <v>45128</v>
      </c>
      <c r="T151" s="41">
        <v>0.44444444444444442</v>
      </c>
      <c r="U151" s="13">
        <f t="shared" si="14"/>
        <v>4</v>
      </c>
    </row>
    <row r="152" spans="1:21" x14ac:dyDescent="0.35">
      <c r="A152" t="str">
        <f t="shared" si="10"/>
        <v>ESTUDIO SEGUIMIENTO DESEMPEÑO AMBIENTAL ACUICULTURA EN CHILE Y SU EFECTO EN LOS ECOSISTEMAS DE EMPLAZAMIENTO 2023-2024</v>
      </c>
      <c r="B152" t="str">
        <f t="shared" si="11"/>
        <v>Objetivo 1. Actividad 2. Muestreos y Analisis sedimentos</v>
      </c>
      <c r="C152" t="str">
        <f t="shared" si="12"/>
        <v>Gastón Vidal</v>
      </c>
      <c r="D152" t="str">
        <f t="shared" si="13"/>
        <v>INSTITUTO DE FOMENTO PESQUERO</v>
      </c>
      <c r="E152" s="14" t="s">
        <v>36</v>
      </c>
      <c r="F152" s="15" t="s">
        <v>319</v>
      </c>
      <c r="G152" s="16">
        <v>5</v>
      </c>
      <c r="H152" s="18" t="s">
        <v>324</v>
      </c>
      <c r="I152" s="18" t="s">
        <v>325</v>
      </c>
      <c r="J152" s="23">
        <v>7.77</v>
      </c>
      <c r="K152" s="26">
        <v>6.2449979983984001E-2</v>
      </c>
      <c r="L152" s="23">
        <v>13.766666666666666</v>
      </c>
      <c r="M152" s="26">
        <v>5.77350269189634E-2</v>
      </c>
      <c r="N152" s="25">
        <v>266.10000000000002</v>
      </c>
      <c r="O152" s="26">
        <v>89.095959504345544</v>
      </c>
      <c r="P152" s="25">
        <v>112.29760232215186</v>
      </c>
      <c r="Q152" s="26">
        <v>32.132725986086477</v>
      </c>
      <c r="R152" s="23">
        <v>2.1805859469973181</v>
      </c>
      <c r="S152" s="40">
        <v>45128</v>
      </c>
      <c r="T152" s="41">
        <v>0.46597222222222223</v>
      </c>
      <c r="U152" s="13">
        <f t="shared" si="14"/>
        <v>5</v>
      </c>
    </row>
    <row r="153" spans="1:21" x14ac:dyDescent="0.35">
      <c r="A153" t="str">
        <f t="shared" si="10"/>
        <v>ESTUDIO SEGUIMIENTO DESEMPEÑO AMBIENTAL ACUICULTURA EN CHILE Y SU EFECTO EN LOS ECOSISTEMAS DE EMPLAZAMIENTO 2023-2024</v>
      </c>
      <c r="B153" t="str">
        <f t="shared" si="11"/>
        <v>Objetivo 1. Actividad 2. Muestreos y Analisis sedimentos</v>
      </c>
      <c r="C153" t="str">
        <f t="shared" si="12"/>
        <v>Gastón Vidal</v>
      </c>
      <c r="D153" t="str">
        <f t="shared" si="13"/>
        <v>INSTITUTO DE FOMENTO PESQUERO</v>
      </c>
      <c r="E153" s="14" t="s">
        <v>36</v>
      </c>
      <c r="F153" s="15" t="s">
        <v>319</v>
      </c>
      <c r="G153" s="16">
        <v>7</v>
      </c>
      <c r="H153" s="18" t="s">
        <v>326</v>
      </c>
      <c r="I153" s="18" t="s">
        <v>327</v>
      </c>
      <c r="J153" s="23">
        <v>7.956666666666667</v>
      </c>
      <c r="K153" s="26">
        <v>0.14571661996262883</v>
      </c>
      <c r="L153" s="23">
        <v>14.1</v>
      </c>
      <c r="M153" s="26">
        <v>0</v>
      </c>
      <c r="N153" s="25">
        <v>530.73333333333323</v>
      </c>
      <c r="O153" s="26">
        <v>42.478739780428185</v>
      </c>
      <c r="P153" s="25">
        <v>3.9753886451923784E-4</v>
      </c>
      <c r="Q153" s="37">
        <v>5.2209661539762554E-4</v>
      </c>
      <c r="R153" s="23">
        <v>0.56678557273086916</v>
      </c>
      <c r="S153" s="40">
        <v>45127</v>
      </c>
      <c r="T153" s="41">
        <v>0.37152777777777773</v>
      </c>
      <c r="U153" s="13">
        <f t="shared" si="14"/>
        <v>7</v>
      </c>
    </row>
    <row r="154" spans="1:21" x14ac:dyDescent="0.35">
      <c r="A154" t="str">
        <f t="shared" si="10"/>
        <v>ESTUDIO SEGUIMIENTO DESEMPEÑO AMBIENTAL ACUICULTURA EN CHILE Y SU EFECTO EN LOS ECOSISTEMAS DE EMPLAZAMIENTO 2023-2024</v>
      </c>
      <c r="B154" t="str">
        <f t="shared" si="11"/>
        <v>Objetivo 1. Actividad 2. Muestreos y Analisis sedimentos</v>
      </c>
      <c r="C154" t="str">
        <f t="shared" si="12"/>
        <v>Gastón Vidal</v>
      </c>
      <c r="D154" t="str">
        <f t="shared" si="13"/>
        <v>INSTITUTO DE FOMENTO PESQUERO</v>
      </c>
      <c r="E154" s="14" t="s">
        <v>36</v>
      </c>
      <c r="F154" s="15" t="s">
        <v>319</v>
      </c>
      <c r="G154" s="16">
        <v>9</v>
      </c>
      <c r="H154" s="18" t="s">
        <v>328</v>
      </c>
      <c r="I154" s="18" t="s">
        <v>329</v>
      </c>
      <c r="J154" s="23">
        <v>7.71</v>
      </c>
      <c r="K154" s="26">
        <v>0.10583005244258371</v>
      </c>
      <c r="L154" s="23">
        <v>14.266666666666666</v>
      </c>
      <c r="M154" s="26">
        <v>0.15275252316519508</v>
      </c>
      <c r="N154" s="25">
        <v>358.36666666666662</v>
      </c>
      <c r="O154" s="26">
        <v>14.351422693702999</v>
      </c>
      <c r="P154" s="25">
        <v>1.3466348595794055</v>
      </c>
      <c r="Q154" s="37">
        <v>1.1773488205736169</v>
      </c>
      <c r="R154" s="23">
        <v>0.74574749339052226</v>
      </c>
      <c r="S154" s="40">
        <v>45127</v>
      </c>
      <c r="T154" s="41">
        <v>0.47222222222222227</v>
      </c>
      <c r="U154" s="13">
        <f t="shared" si="14"/>
        <v>9</v>
      </c>
    </row>
    <row r="155" spans="1:21" x14ac:dyDescent="0.35">
      <c r="A155" t="str">
        <f t="shared" si="10"/>
        <v>ESTUDIO SEGUIMIENTO DESEMPEÑO AMBIENTAL ACUICULTURA EN CHILE Y SU EFECTO EN LOS ECOSISTEMAS DE EMPLAZAMIENTO 2023-2024</v>
      </c>
      <c r="B155" t="str">
        <f t="shared" si="11"/>
        <v>Objetivo 1. Actividad 2. Muestreos y Analisis sedimentos</v>
      </c>
      <c r="C155" t="str">
        <f t="shared" si="12"/>
        <v>Gastón Vidal</v>
      </c>
      <c r="D155" t="str">
        <f t="shared" si="13"/>
        <v>INSTITUTO DE FOMENTO PESQUERO</v>
      </c>
      <c r="E155" s="14" t="s">
        <v>36</v>
      </c>
      <c r="F155" s="15" t="s">
        <v>319</v>
      </c>
      <c r="G155" s="16">
        <v>10</v>
      </c>
      <c r="H155" s="18" t="s">
        <v>330</v>
      </c>
      <c r="I155" s="18" t="s">
        <v>331</v>
      </c>
      <c r="J155" s="23">
        <v>7.5366666666666662</v>
      </c>
      <c r="K155" s="26">
        <v>0.10016652800877776</v>
      </c>
      <c r="L155" s="23">
        <v>13.866666666666667</v>
      </c>
      <c r="M155" s="26">
        <v>5.7735026918962373E-2</v>
      </c>
      <c r="N155" s="25">
        <v>298.93333333333334</v>
      </c>
      <c r="O155" s="26">
        <v>13.489749194604498</v>
      </c>
      <c r="P155" s="25">
        <v>14.442743240810394</v>
      </c>
      <c r="Q155" s="37">
        <v>6.8375021280555073</v>
      </c>
      <c r="R155" s="23">
        <v>0.6550379946708409</v>
      </c>
      <c r="S155" s="40">
        <v>45127</v>
      </c>
      <c r="T155" s="41">
        <v>0.39930555555555558</v>
      </c>
      <c r="U155" s="13">
        <f t="shared" si="14"/>
        <v>10</v>
      </c>
    </row>
    <row r="156" spans="1:21" x14ac:dyDescent="0.35">
      <c r="A156" t="str">
        <f t="shared" si="10"/>
        <v>ESTUDIO SEGUIMIENTO DESEMPEÑO AMBIENTAL ACUICULTURA EN CHILE Y SU EFECTO EN LOS ECOSISTEMAS DE EMPLAZAMIENTO 2023-2024</v>
      </c>
      <c r="B156" t="str">
        <f t="shared" si="11"/>
        <v>Objetivo 1. Actividad 2. Muestreos y Analisis sedimentos</v>
      </c>
      <c r="C156" t="str">
        <f t="shared" si="12"/>
        <v>Gastón Vidal</v>
      </c>
      <c r="D156" t="str">
        <f t="shared" si="13"/>
        <v>INSTITUTO DE FOMENTO PESQUERO</v>
      </c>
      <c r="E156" s="14" t="s">
        <v>36</v>
      </c>
      <c r="F156" s="15" t="s">
        <v>319</v>
      </c>
      <c r="G156" s="16">
        <v>13</v>
      </c>
      <c r="H156" s="18" t="s">
        <v>332</v>
      </c>
      <c r="I156" s="18" t="s">
        <v>333</v>
      </c>
      <c r="J156" s="23">
        <v>7.7</v>
      </c>
      <c r="K156" s="26">
        <v>5.567764362830039E-2</v>
      </c>
      <c r="L156" s="23">
        <v>13.699999999999998</v>
      </c>
      <c r="M156" s="26">
        <v>2.1755839288168292E-15</v>
      </c>
      <c r="N156" s="25">
        <v>259.86666666666667</v>
      </c>
      <c r="O156" s="26">
        <v>60.882372927911824</v>
      </c>
      <c r="P156" s="25">
        <v>56.359729703818665</v>
      </c>
      <c r="Q156" s="37">
        <v>45.003236733454088</v>
      </c>
      <c r="R156" s="23">
        <v>0.76431667807435333</v>
      </c>
      <c r="S156" s="40">
        <v>45127</v>
      </c>
      <c r="T156" s="41">
        <v>0.43958333333333338</v>
      </c>
      <c r="U156" s="13">
        <f t="shared" si="14"/>
        <v>13</v>
      </c>
    </row>
    <row r="157" spans="1:21" x14ac:dyDescent="0.35">
      <c r="A157" t="str">
        <f t="shared" si="10"/>
        <v>ESTUDIO SEGUIMIENTO DESEMPEÑO AMBIENTAL ACUICULTURA EN CHILE Y SU EFECTO EN LOS ECOSISTEMAS DE EMPLAZAMIENTO 2023-2024</v>
      </c>
      <c r="B157" t="str">
        <f t="shared" si="11"/>
        <v>Objetivo 1. Actividad 2. Muestreos y Analisis sedimentos</v>
      </c>
      <c r="C157" t="str">
        <f t="shared" si="12"/>
        <v>Gastón Vidal</v>
      </c>
      <c r="D157" t="str">
        <f t="shared" si="13"/>
        <v>INSTITUTO DE FOMENTO PESQUERO</v>
      </c>
      <c r="E157" s="14" t="s">
        <v>36</v>
      </c>
      <c r="F157" s="15" t="s">
        <v>334</v>
      </c>
      <c r="G157" s="16">
        <v>2</v>
      </c>
      <c r="H157" s="18" t="s">
        <v>335</v>
      </c>
      <c r="I157" s="18" t="s">
        <v>336</v>
      </c>
      <c r="J157" s="23">
        <v>7.666666666666667</v>
      </c>
      <c r="K157" s="26">
        <v>8.962886439832464E-2</v>
      </c>
      <c r="L157" s="23">
        <v>5.666666666666667</v>
      </c>
      <c r="M157" s="26">
        <v>5.773502691896288E-2</v>
      </c>
      <c r="N157" s="25">
        <v>133.19999999999999</v>
      </c>
      <c r="O157" s="26">
        <v>19.408503291083679</v>
      </c>
      <c r="P157" s="25">
        <v>60.736850278037387</v>
      </c>
      <c r="Q157" s="26">
        <v>10.669943546972954</v>
      </c>
      <c r="R157" s="23">
        <v>5.3500138767318939</v>
      </c>
      <c r="S157" s="40">
        <v>45168</v>
      </c>
      <c r="T157" s="41">
        <v>0.46527777777777773</v>
      </c>
      <c r="U157" s="13">
        <f t="shared" si="14"/>
        <v>2</v>
      </c>
    </row>
    <row r="158" spans="1:21" x14ac:dyDescent="0.35">
      <c r="A158" t="str">
        <f t="shared" si="10"/>
        <v>ESTUDIO SEGUIMIENTO DESEMPEÑO AMBIENTAL ACUICULTURA EN CHILE Y SU EFECTO EN LOS ECOSISTEMAS DE EMPLAZAMIENTO 2023-2024</v>
      </c>
      <c r="B158" t="str">
        <f t="shared" si="11"/>
        <v>Objetivo 1. Actividad 2. Muestreos y Analisis sedimentos</v>
      </c>
      <c r="C158" t="str">
        <f t="shared" si="12"/>
        <v>Gastón Vidal</v>
      </c>
      <c r="D158" t="str">
        <f t="shared" si="13"/>
        <v>INSTITUTO DE FOMENTO PESQUERO</v>
      </c>
      <c r="E158" s="14" t="s">
        <v>36</v>
      </c>
      <c r="F158" s="15" t="s">
        <v>334</v>
      </c>
      <c r="G158" s="16">
        <v>3</v>
      </c>
      <c r="H158" s="18" t="s">
        <v>337</v>
      </c>
      <c r="I158" s="18" t="s">
        <v>338</v>
      </c>
      <c r="J158" s="23">
        <v>7.28</v>
      </c>
      <c r="K158" s="26">
        <v>0.13000000000000006</v>
      </c>
      <c r="L158" s="23">
        <v>6.2333333333333334</v>
      </c>
      <c r="M158" s="26">
        <v>0.23094010767585052</v>
      </c>
      <c r="N158" s="25">
        <v>141</v>
      </c>
      <c r="O158" s="26">
        <v>3.4770677301427306</v>
      </c>
      <c r="P158" s="25">
        <v>28.775957994041672</v>
      </c>
      <c r="Q158" s="26">
        <v>24.716680451237291</v>
      </c>
      <c r="R158" s="23">
        <v>6.7669562962002212</v>
      </c>
      <c r="S158" s="40">
        <v>45168</v>
      </c>
      <c r="T158" s="41">
        <v>0.50138888888888888</v>
      </c>
      <c r="U158" s="13">
        <f t="shared" si="14"/>
        <v>3</v>
      </c>
    </row>
    <row r="159" spans="1:21" x14ac:dyDescent="0.35">
      <c r="A159" t="str">
        <f t="shared" si="10"/>
        <v>ESTUDIO SEGUIMIENTO DESEMPEÑO AMBIENTAL ACUICULTURA EN CHILE Y SU EFECTO EN LOS ECOSISTEMAS DE EMPLAZAMIENTO 2023-2024</v>
      </c>
      <c r="B159" t="str">
        <f t="shared" si="11"/>
        <v>Objetivo 1. Actividad 2. Muestreos y Analisis sedimentos</v>
      </c>
      <c r="C159" t="str">
        <f t="shared" si="12"/>
        <v>Gastón Vidal</v>
      </c>
      <c r="D159" t="str">
        <f t="shared" si="13"/>
        <v>INSTITUTO DE FOMENTO PESQUERO</v>
      </c>
      <c r="E159" s="14" t="s">
        <v>36</v>
      </c>
      <c r="F159" s="15" t="s">
        <v>334</v>
      </c>
      <c r="G159" s="16">
        <v>5</v>
      </c>
      <c r="H159" s="18" t="s">
        <v>339</v>
      </c>
      <c r="I159" s="18" t="s">
        <v>340</v>
      </c>
      <c r="J159" s="23">
        <v>7.3966666666666674</v>
      </c>
      <c r="K159" s="26">
        <v>2.5166114784235766E-2</v>
      </c>
      <c r="L159" s="23">
        <v>6.7666666666666666</v>
      </c>
      <c r="M159" s="26">
        <v>0.11547005383792526</v>
      </c>
      <c r="N159" s="25">
        <v>118.63333333333333</v>
      </c>
      <c r="O159" s="26">
        <v>0.87368949480540414</v>
      </c>
      <c r="P159" s="25">
        <v>9.6514789483457708</v>
      </c>
      <c r="Q159" s="26">
        <v>0.6933613853846835</v>
      </c>
      <c r="R159" s="23">
        <v>7.4742425166128355</v>
      </c>
      <c r="S159" s="40">
        <v>45164</v>
      </c>
      <c r="T159" s="41">
        <v>0.47916666666666669</v>
      </c>
      <c r="U159" s="13">
        <f t="shared" si="14"/>
        <v>5</v>
      </c>
    </row>
    <row r="160" spans="1:21" x14ac:dyDescent="0.35">
      <c r="A160" t="str">
        <f t="shared" si="10"/>
        <v>ESTUDIO SEGUIMIENTO DESEMPEÑO AMBIENTAL ACUICULTURA EN CHILE Y SU EFECTO EN LOS ECOSISTEMAS DE EMPLAZAMIENTO 2023-2024</v>
      </c>
      <c r="B160" t="str">
        <f t="shared" si="11"/>
        <v>Objetivo 1. Actividad 2. Muestreos y Analisis sedimentos</v>
      </c>
      <c r="C160" t="str">
        <f t="shared" si="12"/>
        <v>Gastón Vidal</v>
      </c>
      <c r="D160" t="str">
        <f t="shared" si="13"/>
        <v>INSTITUTO DE FOMENTO PESQUERO</v>
      </c>
      <c r="E160" s="14" t="s">
        <v>36</v>
      </c>
      <c r="F160" s="15" t="s">
        <v>334</v>
      </c>
      <c r="G160" s="16">
        <v>9</v>
      </c>
      <c r="H160" s="18" t="s">
        <v>341</v>
      </c>
      <c r="I160" s="18" t="s">
        <v>342</v>
      </c>
      <c r="J160" s="23">
        <v>7.9533333333333331</v>
      </c>
      <c r="K160" s="26">
        <v>5.1316014394468618E-2</v>
      </c>
      <c r="L160" s="23">
        <v>7.2666666666666666</v>
      </c>
      <c r="M160" s="26">
        <v>0.11547005383792526</v>
      </c>
      <c r="N160" s="25">
        <v>162.63333333333335</v>
      </c>
      <c r="O160" s="26">
        <v>25.971972072473335</v>
      </c>
      <c r="P160" s="25">
        <v>26.982329999495121</v>
      </c>
      <c r="Q160" s="26">
        <v>17.723981729313405</v>
      </c>
      <c r="R160" s="23">
        <v>1.9617466044142606</v>
      </c>
      <c r="S160" s="40">
        <v>45165</v>
      </c>
      <c r="T160" s="41">
        <v>0.52222222222222225</v>
      </c>
      <c r="U160" s="13">
        <f t="shared" si="14"/>
        <v>9</v>
      </c>
    </row>
    <row r="161" spans="1:21" x14ac:dyDescent="0.35">
      <c r="A161" t="str">
        <f t="shared" si="10"/>
        <v>ESTUDIO SEGUIMIENTO DESEMPEÑO AMBIENTAL ACUICULTURA EN CHILE Y SU EFECTO EN LOS ECOSISTEMAS DE EMPLAZAMIENTO 2023-2024</v>
      </c>
      <c r="B161" t="str">
        <f t="shared" si="11"/>
        <v>Objetivo 1. Actividad 2. Muestreos y Analisis sedimentos</v>
      </c>
      <c r="C161" t="str">
        <f t="shared" si="12"/>
        <v>Gastón Vidal</v>
      </c>
      <c r="D161" t="str">
        <f t="shared" si="13"/>
        <v>INSTITUTO DE FOMENTO PESQUERO</v>
      </c>
      <c r="E161" s="14" t="s">
        <v>36</v>
      </c>
      <c r="F161" s="15" t="s">
        <v>334</v>
      </c>
      <c r="G161" s="16">
        <v>10</v>
      </c>
      <c r="H161" s="18" t="s">
        <v>343</v>
      </c>
      <c r="I161" s="18" t="s">
        <v>344</v>
      </c>
      <c r="J161" s="23">
        <v>6.5666666666666664</v>
      </c>
      <c r="K161" s="26">
        <v>0.35275109260402482</v>
      </c>
      <c r="L161" s="23">
        <v>7.166666666666667</v>
      </c>
      <c r="M161" s="26">
        <v>0.15275252316519461</v>
      </c>
      <c r="N161" s="25">
        <v>291.3</v>
      </c>
      <c r="O161" s="26">
        <v>30.677027235375988</v>
      </c>
      <c r="P161" s="25">
        <v>86.953481677863849</v>
      </c>
      <c r="Q161" s="26">
        <v>62.591727480233146</v>
      </c>
      <c r="R161" s="23">
        <v>3.1514000000000002</v>
      </c>
      <c r="S161" s="40">
        <v>45166</v>
      </c>
      <c r="T161" s="41">
        <v>0.52083333333333337</v>
      </c>
      <c r="U161" s="13">
        <f t="shared" si="14"/>
        <v>10</v>
      </c>
    </row>
    <row r="162" spans="1:21" x14ac:dyDescent="0.35">
      <c r="A162" t="str">
        <f t="shared" si="10"/>
        <v>ESTUDIO SEGUIMIENTO DESEMPEÑO AMBIENTAL ACUICULTURA EN CHILE Y SU EFECTO EN LOS ECOSISTEMAS DE EMPLAZAMIENTO 2023-2024</v>
      </c>
      <c r="B162" t="str">
        <f t="shared" si="11"/>
        <v>Objetivo 1. Actividad 2. Muestreos y Analisis sedimentos</v>
      </c>
      <c r="C162" t="str">
        <f t="shared" si="12"/>
        <v>Gastón Vidal</v>
      </c>
      <c r="D162" t="str">
        <f t="shared" si="13"/>
        <v>INSTITUTO DE FOMENTO PESQUERO</v>
      </c>
      <c r="E162" s="14" t="s">
        <v>36</v>
      </c>
      <c r="F162" s="15" t="s">
        <v>334</v>
      </c>
      <c r="G162" s="16">
        <v>11</v>
      </c>
      <c r="H162" s="18" t="s">
        <v>345</v>
      </c>
      <c r="I162" s="18" t="s">
        <v>346</v>
      </c>
      <c r="J162" s="23">
        <v>7.3966666666666656</v>
      </c>
      <c r="K162" s="26">
        <v>6.6583281184793869E-2</v>
      </c>
      <c r="L162" s="23">
        <v>7.333333333333333</v>
      </c>
      <c r="M162" s="26">
        <v>5.7735026918962887E-2</v>
      </c>
      <c r="N162" s="25">
        <v>185.33333333333334</v>
      </c>
      <c r="O162" s="26">
        <v>29.309441027309525</v>
      </c>
      <c r="P162" s="25">
        <v>71.829152068812448</v>
      </c>
      <c r="Q162" s="26">
        <v>28.643756705147503</v>
      </c>
      <c r="R162" s="23">
        <v>12.449799196787133</v>
      </c>
      <c r="S162" s="40">
        <v>45165</v>
      </c>
      <c r="T162" s="41">
        <v>0.70416666666666661</v>
      </c>
      <c r="U162" s="13">
        <f t="shared" si="14"/>
        <v>11</v>
      </c>
    </row>
    <row r="163" spans="1:21" x14ac:dyDescent="0.35">
      <c r="A163" t="str">
        <f t="shared" si="10"/>
        <v>ESTUDIO SEGUIMIENTO DESEMPEÑO AMBIENTAL ACUICULTURA EN CHILE Y SU EFECTO EN LOS ECOSISTEMAS DE EMPLAZAMIENTO 2023-2024</v>
      </c>
      <c r="B163" t="str">
        <f t="shared" si="11"/>
        <v>Objetivo 1. Actividad 2. Muestreos y Analisis sedimentos</v>
      </c>
      <c r="C163" t="str">
        <f t="shared" si="12"/>
        <v>Gastón Vidal</v>
      </c>
      <c r="D163" t="str">
        <f t="shared" si="13"/>
        <v>INSTITUTO DE FOMENTO PESQUERO</v>
      </c>
      <c r="E163" s="14" t="s">
        <v>36</v>
      </c>
      <c r="F163" s="15" t="s">
        <v>334</v>
      </c>
      <c r="G163" s="16">
        <v>13</v>
      </c>
      <c r="H163" s="18" t="s">
        <v>347</v>
      </c>
      <c r="I163" s="18" t="s">
        <v>348</v>
      </c>
      <c r="J163" s="23">
        <v>7.1433333333333335</v>
      </c>
      <c r="K163" s="26">
        <v>5.7735026918966474E-3</v>
      </c>
      <c r="L163" s="23">
        <v>7.166666666666667</v>
      </c>
      <c r="M163" s="26">
        <v>0.15275252316519461</v>
      </c>
      <c r="N163" s="25">
        <v>277.46666666666664</v>
      </c>
      <c r="O163" s="26">
        <v>4.5654499595695244</v>
      </c>
      <c r="P163" s="25">
        <v>1.2654012338151893E-2</v>
      </c>
      <c r="Q163" s="26">
        <v>2.1893991972320788E-2</v>
      </c>
      <c r="R163" s="23">
        <v>2.8194861528194943</v>
      </c>
      <c r="S163" s="40">
        <v>45165</v>
      </c>
      <c r="T163" s="41">
        <v>0.72916666666666663</v>
      </c>
      <c r="U163" s="13">
        <f t="shared" si="14"/>
        <v>13</v>
      </c>
    </row>
    <row r="164" spans="1:21" x14ac:dyDescent="0.35">
      <c r="A164" t="str">
        <f t="shared" si="10"/>
        <v>ESTUDIO SEGUIMIENTO DESEMPEÑO AMBIENTAL ACUICULTURA EN CHILE Y SU EFECTO EN LOS ECOSISTEMAS DE EMPLAZAMIENTO 2023-2024</v>
      </c>
      <c r="B164" t="str">
        <f t="shared" si="11"/>
        <v>Objetivo 1. Actividad 2. Muestreos y Analisis sedimentos</v>
      </c>
      <c r="C164" t="str">
        <f t="shared" si="12"/>
        <v>Gastón Vidal</v>
      </c>
      <c r="D164" t="str">
        <f t="shared" si="13"/>
        <v>INSTITUTO DE FOMENTO PESQUERO</v>
      </c>
      <c r="E164" s="14" t="s">
        <v>36</v>
      </c>
      <c r="F164" s="15" t="s">
        <v>334</v>
      </c>
      <c r="G164" s="16">
        <v>14</v>
      </c>
      <c r="H164" s="18" t="s">
        <v>349</v>
      </c>
      <c r="I164" s="18" t="s">
        <v>350</v>
      </c>
      <c r="J164" s="23">
        <v>7.2766666666666664</v>
      </c>
      <c r="K164" s="26">
        <v>0.19087517736293888</v>
      </c>
      <c r="L164" s="23">
        <v>7.3666666666666671</v>
      </c>
      <c r="M164" s="26">
        <v>0.35118845842842472</v>
      </c>
      <c r="N164" s="25">
        <v>315.09999999999997</v>
      </c>
      <c r="O164" s="26">
        <v>39.996124812286894</v>
      </c>
      <c r="P164" s="25">
        <v>16.055481173236558</v>
      </c>
      <c r="Q164" s="26">
        <v>7.7063118213184296</v>
      </c>
      <c r="R164" s="23">
        <v>9.9543885601578044</v>
      </c>
      <c r="S164" s="40">
        <v>45163</v>
      </c>
      <c r="T164" s="41">
        <v>0.76041666666666663</v>
      </c>
      <c r="U164" s="13">
        <f t="shared" si="14"/>
        <v>14</v>
      </c>
    </row>
  </sheetData>
  <conditionalFormatting sqref="H128:I149 H112:I126 H83:I110 H80:I81 H56:I78 H27:I44 S37:T44">
    <cfRule type="containsText" dxfId="7" priority="104" stopIfTrue="1" operator="containsText" text="sd">
      <formula>NOT(ISERROR(SEARCH("sd",H27)))</formula>
    </cfRule>
  </conditionalFormatting>
  <conditionalFormatting sqref="H45:I48">
    <cfRule type="containsText" dxfId="6" priority="103" stopIfTrue="1" operator="containsText" text="sd">
      <formula>NOT(ISERROR(SEARCH("sd",H45)))</formula>
    </cfRule>
  </conditionalFormatting>
  <conditionalFormatting sqref="H49:I55">
    <cfRule type="containsText" dxfId="5" priority="102" stopIfTrue="1" operator="containsText" text="sd">
      <formula>NOT(ISERROR(SEARCH("sd",H49)))</formula>
    </cfRule>
  </conditionalFormatting>
  <conditionalFormatting sqref="H111:I111">
    <cfRule type="containsText" dxfId="4" priority="101" stopIfTrue="1" operator="containsText" text="sd">
      <formula>NOT(ISERROR(SEARCH("sd",H111)))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2026-01-13T12:30:26Z</dcterms:modified>
</cp:coreProperties>
</file>