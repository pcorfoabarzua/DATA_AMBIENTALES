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0_ncr:8100000_{A5ECBFF6-2CAC-4886-A1C2-6EA737D41817}" xr6:coauthVersionLast="34" xr6:coauthVersionMax="34" xr10:uidLastSave="{00000000-0000-0000-0000-000000000000}"/>
  <bookViews>
    <workbookView xWindow="0" yWindow="0" windowWidth="22260" windowHeight="12650" xr2:uid="{00000000-000D-0000-FFFF-FFFF00000000}"/>
  </bookViews>
  <sheets>
    <sheet name="2021" sheetId="1" r:id="rId1"/>
  </sheets>
  <definedNames>
    <definedName name="_xlnm._FilterDatabase" localSheetId="0" hidden="1">'2021'!$A$16:$V$156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8" i="1" l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8" i="1"/>
  <c r="V19" i="1"/>
  <c r="V20" i="1"/>
  <c r="V21" i="1"/>
  <c r="V22" i="1"/>
  <c r="V23" i="1"/>
  <c r="V24" i="1"/>
  <c r="V25" i="1"/>
  <c r="V26" i="1"/>
  <c r="V27" i="1"/>
  <c r="A18" i="1"/>
  <c r="B18" i="1"/>
  <c r="C18" i="1"/>
  <c r="D18" i="1"/>
  <c r="A19" i="1"/>
  <c r="B19" i="1"/>
  <c r="C19" i="1"/>
  <c r="D19" i="1"/>
  <c r="A20" i="1"/>
  <c r="B20" i="1"/>
  <c r="C20" i="1"/>
  <c r="D20" i="1"/>
  <c r="A21" i="1"/>
  <c r="B21" i="1"/>
  <c r="C21" i="1"/>
  <c r="D21" i="1"/>
  <c r="A22" i="1"/>
  <c r="B22" i="1"/>
  <c r="C22" i="1"/>
  <c r="D22" i="1"/>
  <c r="A23" i="1"/>
  <c r="B23" i="1"/>
  <c r="C23" i="1"/>
  <c r="D23" i="1"/>
  <c r="A24" i="1"/>
  <c r="B24" i="1"/>
  <c r="C24" i="1"/>
  <c r="D24" i="1"/>
  <c r="A25" i="1"/>
  <c r="B25" i="1"/>
  <c r="C25" i="1"/>
  <c r="D25" i="1"/>
  <c r="A26" i="1"/>
  <c r="B26" i="1"/>
  <c r="C26" i="1"/>
  <c r="D26" i="1"/>
  <c r="A27" i="1"/>
  <c r="B27" i="1"/>
  <c r="C27" i="1"/>
  <c r="D27" i="1"/>
  <c r="A28" i="1"/>
  <c r="B28" i="1"/>
  <c r="C28" i="1"/>
  <c r="D28" i="1"/>
  <c r="A29" i="1"/>
  <c r="B29" i="1"/>
  <c r="C29" i="1"/>
  <c r="D29" i="1"/>
  <c r="A30" i="1"/>
  <c r="B30" i="1"/>
  <c r="C30" i="1"/>
  <c r="D30" i="1"/>
  <c r="A31" i="1"/>
  <c r="B31" i="1"/>
  <c r="C31" i="1"/>
  <c r="D31" i="1"/>
  <c r="A32" i="1"/>
  <c r="B32" i="1"/>
  <c r="C32" i="1"/>
  <c r="D32" i="1"/>
  <c r="A33" i="1"/>
  <c r="B33" i="1"/>
  <c r="C33" i="1"/>
  <c r="D33" i="1"/>
  <c r="A34" i="1"/>
  <c r="B34" i="1"/>
  <c r="C34" i="1"/>
  <c r="D34" i="1"/>
  <c r="A35" i="1"/>
  <c r="B35" i="1"/>
  <c r="C35" i="1"/>
  <c r="D35" i="1"/>
  <c r="A36" i="1"/>
  <c r="B36" i="1"/>
  <c r="C36" i="1"/>
  <c r="D36" i="1"/>
  <c r="A37" i="1"/>
  <c r="B37" i="1"/>
  <c r="C37" i="1"/>
  <c r="D37" i="1"/>
  <c r="A38" i="1"/>
  <c r="B38" i="1"/>
  <c r="C38" i="1"/>
  <c r="D38" i="1"/>
  <c r="A39" i="1"/>
  <c r="B39" i="1"/>
  <c r="C39" i="1"/>
  <c r="D39" i="1"/>
  <c r="A40" i="1"/>
  <c r="B40" i="1"/>
  <c r="C40" i="1"/>
  <c r="D40" i="1"/>
  <c r="A41" i="1"/>
  <c r="B41" i="1"/>
  <c r="C41" i="1"/>
  <c r="D41" i="1"/>
  <c r="A42" i="1"/>
  <c r="B42" i="1"/>
  <c r="C42" i="1"/>
  <c r="D42" i="1"/>
  <c r="A43" i="1"/>
  <c r="B43" i="1"/>
  <c r="C43" i="1"/>
  <c r="D43" i="1"/>
  <c r="A44" i="1"/>
  <c r="B44" i="1"/>
  <c r="C44" i="1"/>
  <c r="D44" i="1"/>
  <c r="A45" i="1"/>
  <c r="B45" i="1"/>
  <c r="C45" i="1"/>
  <c r="D45" i="1"/>
  <c r="A46" i="1"/>
  <c r="B46" i="1"/>
  <c r="C46" i="1"/>
  <c r="D46" i="1"/>
  <c r="A47" i="1"/>
  <c r="B47" i="1"/>
  <c r="C47" i="1"/>
  <c r="D47" i="1"/>
  <c r="A48" i="1"/>
  <c r="B48" i="1"/>
  <c r="C48" i="1"/>
  <c r="D48" i="1"/>
  <c r="A49" i="1"/>
  <c r="B49" i="1"/>
  <c r="C49" i="1"/>
  <c r="D49" i="1"/>
  <c r="A50" i="1"/>
  <c r="B50" i="1"/>
  <c r="C50" i="1"/>
  <c r="D50" i="1"/>
  <c r="A51" i="1"/>
  <c r="B51" i="1"/>
  <c r="C51" i="1"/>
  <c r="D51" i="1"/>
  <c r="A52" i="1"/>
  <c r="B52" i="1"/>
  <c r="C52" i="1"/>
  <c r="D52" i="1"/>
  <c r="A53" i="1"/>
  <c r="B53" i="1"/>
  <c r="C53" i="1"/>
  <c r="D53" i="1"/>
  <c r="A54" i="1"/>
  <c r="B54" i="1"/>
  <c r="C54" i="1"/>
  <c r="D54" i="1"/>
  <c r="A55" i="1"/>
  <c r="B55" i="1"/>
  <c r="C55" i="1"/>
  <c r="D55" i="1"/>
  <c r="A56" i="1"/>
  <c r="B56" i="1"/>
  <c r="C56" i="1"/>
  <c r="D56" i="1"/>
  <c r="A57" i="1"/>
  <c r="B57" i="1"/>
  <c r="C57" i="1"/>
  <c r="D57" i="1"/>
  <c r="A58" i="1"/>
  <c r="B58" i="1"/>
  <c r="C58" i="1"/>
  <c r="D58" i="1"/>
  <c r="A59" i="1"/>
  <c r="B59" i="1"/>
  <c r="C59" i="1"/>
  <c r="D59" i="1"/>
  <c r="A60" i="1"/>
  <c r="B60" i="1"/>
  <c r="C60" i="1"/>
  <c r="D60" i="1"/>
  <c r="A61" i="1"/>
  <c r="B61" i="1"/>
  <c r="C61" i="1"/>
  <c r="D61" i="1"/>
  <c r="A62" i="1"/>
  <c r="B62" i="1"/>
  <c r="C62" i="1"/>
  <c r="D62" i="1"/>
  <c r="A63" i="1"/>
  <c r="B63" i="1"/>
  <c r="C63" i="1"/>
  <c r="D63" i="1"/>
  <c r="A64" i="1"/>
  <c r="B64" i="1"/>
  <c r="C64" i="1"/>
  <c r="D64" i="1"/>
  <c r="A65" i="1"/>
  <c r="B65" i="1"/>
  <c r="C65" i="1"/>
  <c r="D65" i="1"/>
  <c r="A66" i="1"/>
  <c r="B66" i="1"/>
  <c r="C66" i="1"/>
  <c r="D66" i="1"/>
  <c r="A67" i="1"/>
  <c r="B67" i="1"/>
  <c r="C67" i="1"/>
  <c r="D67" i="1"/>
  <c r="A68" i="1"/>
  <c r="B68" i="1"/>
  <c r="C68" i="1"/>
  <c r="D68" i="1"/>
  <c r="A69" i="1"/>
  <c r="B69" i="1"/>
  <c r="C69" i="1"/>
  <c r="D69" i="1"/>
  <c r="A70" i="1"/>
  <c r="B70" i="1"/>
  <c r="C70" i="1"/>
  <c r="D70" i="1"/>
  <c r="A71" i="1"/>
  <c r="B71" i="1"/>
  <c r="C71" i="1"/>
  <c r="D71" i="1"/>
  <c r="A72" i="1"/>
  <c r="B72" i="1"/>
  <c r="C72" i="1"/>
  <c r="D72" i="1"/>
  <c r="A73" i="1"/>
  <c r="B73" i="1"/>
  <c r="C73" i="1"/>
  <c r="D73" i="1"/>
  <c r="A74" i="1"/>
  <c r="B74" i="1"/>
  <c r="C74" i="1"/>
  <c r="D74" i="1"/>
  <c r="A75" i="1"/>
  <c r="B75" i="1"/>
  <c r="C75" i="1"/>
  <c r="D75" i="1"/>
  <c r="A76" i="1"/>
  <c r="B76" i="1"/>
  <c r="C76" i="1"/>
  <c r="D76" i="1"/>
  <c r="A77" i="1"/>
  <c r="B77" i="1"/>
  <c r="C77" i="1"/>
  <c r="D77" i="1"/>
  <c r="A78" i="1"/>
  <c r="B78" i="1"/>
  <c r="C78" i="1"/>
  <c r="D78" i="1"/>
  <c r="A79" i="1"/>
  <c r="B79" i="1"/>
  <c r="C79" i="1"/>
  <c r="D79" i="1"/>
  <c r="A80" i="1"/>
  <c r="B80" i="1"/>
  <c r="C80" i="1"/>
  <c r="D80" i="1"/>
  <c r="A81" i="1"/>
  <c r="B81" i="1"/>
  <c r="C81" i="1"/>
  <c r="D81" i="1"/>
  <c r="A82" i="1"/>
  <c r="B82" i="1"/>
  <c r="C82" i="1"/>
  <c r="D82" i="1"/>
  <c r="A83" i="1"/>
  <c r="B83" i="1"/>
  <c r="C83" i="1"/>
  <c r="D83" i="1"/>
  <c r="A84" i="1"/>
  <c r="B84" i="1"/>
  <c r="C84" i="1"/>
  <c r="D84" i="1"/>
  <c r="A85" i="1"/>
  <c r="B85" i="1"/>
  <c r="C85" i="1"/>
  <c r="D85" i="1"/>
  <c r="A86" i="1"/>
  <c r="B86" i="1"/>
  <c r="C86" i="1"/>
  <c r="D86" i="1"/>
  <c r="A87" i="1"/>
  <c r="B87" i="1"/>
  <c r="C87" i="1"/>
  <c r="D87" i="1"/>
  <c r="A88" i="1"/>
  <c r="B88" i="1"/>
  <c r="C88" i="1"/>
  <c r="D88" i="1"/>
  <c r="A89" i="1"/>
  <c r="B89" i="1"/>
  <c r="C89" i="1"/>
  <c r="D89" i="1"/>
  <c r="A90" i="1"/>
  <c r="B90" i="1"/>
  <c r="C90" i="1"/>
  <c r="D90" i="1"/>
  <c r="A91" i="1"/>
  <c r="B91" i="1"/>
  <c r="C91" i="1"/>
  <c r="D91" i="1"/>
  <c r="A92" i="1"/>
  <c r="B92" i="1"/>
  <c r="C92" i="1"/>
  <c r="D92" i="1"/>
  <c r="A93" i="1"/>
  <c r="B93" i="1"/>
  <c r="C93" i="1"/>
  <c r="D93" i="1"/>
  <c r="A94" i="1"/>
  <c r="B94" i="1"/>
  <c r="C94" i="1"/>
  <c r="D94" i="1"/>
  <c r="A95" i="1"/>
  <c r="B95" i="1"/>
  <c r="C95" i="1"/>
  <c r="D95" i="1"/>
  <c r="A96" i="1"/>
  <c r="B96" i="1"/>
  <c r="C96" i="1"/>
  <c r="D96" i="1"/>
  <c r="A97" i="1"/>
  <c r="B97" i="1"/>
  <c r="C97" i="1"/>
  <c r="D97" i="1"/>
  <c r="A98" i="1"/>
  <c r="B98" i="1"/>
  <c r="C98" i="1"/>
  <c r="D98" i="1"/>
  <c r="A99" i="1"/>
  <c r="B99" i="1"/>
  <c r="C99" i="1"/>
  <c r="D99" i="1"/>
  <c r="A100" i="1"/>
  <c r="B100" i="1"/>
  <c r="C100" i="1"/>
  <c r="D100" i="1"/>
  <c r="A101" i="1"/>
  <c r="B101" i="1"/>
  <c r="C101" i="1"/>
  <c r="D101" i="1"/>
  <c r="A102" i="1"/>
  <c r="B102" i="1"/>
  <c r="C102" i="1"/>
  <c r="D102" i="1"/>
  <c r="A103" i="1"/>
  <c r="B103" i="1"/>
  <c r="C103" i="1"/>
  <c r="D103" i="1"/>
  <c r="A104" i="1"/>
  <c r="B104" i="1"/>
  <c r="C104" i="1"/>
  <c r="D104" i="1"/>
  <c r="A105" i="1"/>
  <c r="B105" i="1"/>
  <c r="C105" i="1"/>
  <c r="D105" i="1"/>
  <c r="A106" i="1"/>
  <c r="B106" i="1"/>
  <c r="C106" i="1"/>
  <c r="D106" i="1"/>
  <c r="A107" i="1"/>
  <c r="B107" i="1"/>
  <c r="C107" i="1"/>
  <c r="D107" i="1"/>
  <c r="A108" i="1"/>
  <c r="B108" i="1"/>
  <c r="C108" i="1"/>
  <c r="D108" i="1"/>
  <c r="A109" i="1"/>
  <c r="B109" i="1"/>
  <c r="C109" i="1"/>
  <c r="D109" i="1"/>
  <c r="A110" i="1"/>
  <c r="B110" i="1"/>
  <c r="C110" i="1"/>
  <c r="D110" i="1"/>
  <c r="A111" i="1"/>
  <c r="B111" i="1"/>
  <c r="C111" i="1"/>
  <c r="D111" i="1"/>
  <c r="A112" i="1"/>
  <c r="B112" i="1"/>
  <c r="C112" i="1"/>
  <c r="D112" i="1"/>
  <c r="A113" i="1"/>
  <c r="B113" i="1"/>
  <c r="C113" i="1"/>
  <c r="D113" i="1"/>
  <c r="A114" i="1"/>
  <c r="B114" i="1"/>
  <c r="C114" i="1"/>
  <c r="D114" i="1"/>
  <c r="A115" i="1"/>
  <c r="B115" i="1"/>
  <c r="C115" i="1"/>
  <c r="D115" i="1"/>
  <c r="A116" i="1"/>
  <c r="B116" i="1"/>
  <c r="C116" i="1"/>
  <c r="D116" i="1"/>
  <c r="A117" i="1"/>
  <c r="B117" i="1"/>
  <c r="C117" i="1"/>
  <c r="D117" i="1"/>
  <c r="A118" i="1"/>
  <c r="B118" i="1"/>
  <c r="C118" i="1"/>
  <c r="D118" i="1"/>
  <c r="A119" i="1"/>
  <c r="B119" i="1"/>
  <c r="C119" i="1"/>
  <c r="D119" i="1"/>
  <c r="A120" i="1"/>
  <c r="B120" i="1"/>
  <c r="C120" i="1"/>
  <c r="D120" i="1"/>
  <c r="A121" i="1"/>
  <c r="B121" i="1"/>
  <c r="C121" i="1"/>
  <c r="D121" i="1"/>
  <c r="A122" i="1"/>
  <c r="B122" i="1"/>
  <c r="C122" i="1"/>
  <c r="D122" i="1"/>
  <c r="A123" i="1"/>
  <c r="B123" i="1"/>
  <c r="C123" i="1"/>
  <c r="D123" i="1"/>
  <c r="A124" i="1"/>
  <c r="B124" i="1"/>
  <c r="C124" i="1"/>
  <c r="D124" i="1"/>
  <c r="A125" i="1"/>
  <c r="B125" i="1"/>
  <c r="C125" i="1"/>
  <c r="D125" i="1"/>
  <c r="A126" i="1"/>
  <c r="B126" i="1"/>
  <c r="C126" i="1"/>
  <c r="D126" i="1"/>
  <c r="A127" i="1"/>
  <c r="B127" i="1"/>
  <c r="C127" i="1"/>
  <c r="D127" i="1"/>
  <c r="A128" i="1"/>
  <c r="B128" i="1"/>
  <c r="C128" i="1"/>
  <c r="D128" i="1"/>
  <c r="A129" i="1"/>
  <c r="B129" i="1"/>
  <c r="C129" i="1"/>
  <c r="D129" i="1"/>
  <c r="A130" i="1"/>
  <c r="B130" i="1"/>
  <c r="C130" i="1"/>
  <c r="D130" i="1"/>
  <c r="A131" i="1"/>
  <c r="B131" i="1"/>
  <c r="C131" i="1"/>
  <c r="D131" i="1"/>
  <c r="A132" i="1"/>
  <c r="B132" i="1"/>
  <c r="C132" i="1"/>
  <c r="D132" i="1"/>
  <c r="A133" i="1"/>
  <c r="B133" i="1"/>
  <c r="C133" i="1"/>
  <c r="D133" i="1"/>
  <c r="A134" i="1"/>
  <c r="B134" i="1"/>
  <c r="C134" i="1"/>
  <c r="D134" i="1"/>
  <c r="A135" i="1"/>
  <c r="B135" i="1"/>
  <c r="C135" i="1"/>
  <c r="D135" i="1"/>
  <c r="A136" i="1"/>
  <c r="B136" i="1"/>
  <c r="C136" i="1"/>
  <c r="D136" i="1"/>
  <c r="A137" i="1"/>
  <c r="B137" i="1"/>
  <c r="C137" i="1"/>
  <c r="D137" i="1"/>
  <c r="A138" i="1"/>
  <c r="B138" i="1"/>
  <c r="C138" i="1"/>
  <c r="D138" i="1"/>
  <c r="A139" i="1"/>
  <c r="B139" i="1"/>
  <c r="C139" i="1"/>
  <c r="D139" i="1"/>
  <c r="A140" i="1"/>
  <c r="B140" i="1"/>
  <c r="C140" i="1"/>
  <c r="D140" i="1"/>
  <c r="A141" i="1"/>
  <c r="B141" i="1"/>
  <c r="C141" i="1"/>
  <c r="D141" i="1"/>
  <c r="A142" i="1"/>
  <c r="B142" i="1"/>
  <c r="C142" i="1"/>
  <c r="D142" i="1"/>
  <c r="A143" i="1"/>
  <c r="B143" i="1"/>
  <c r="C143" i="1"/>
  <c r="D143" i="1"/>
  <c r="A144" i="1"/>
  <c r="B144" i="1"/>
  <c r="C144" i="1"/>
  <c r="D144" i="1"/>
  <c r="A145" i="1"/>
  <c r="B145" i="1"/>
  <c r="C145" i="1"/>
  <c r="D145" i="1"/>
  <c r="A146" i="1"/>
  <c r="B146" i="1"/>
  <c r="C146" i="1"/>
  <c r="D146" i="1"/>
  <c r="A147" i="1"/>
  <c r="B147" i="1"/>
  <c r="C147" i="1"/>
  <c r="D147" i="1"/>
  <c r="A148" i="1"/>
  <c r="B148" i="1"/>
  <c r="C148" i="1"/>
  <c r="D148" i="1"/>
  <c r="A149" i="1"/>
  <c r="B149" i="1"/>
  <c r="C149" i="1"/>
  <c r="D149" i="1"/>
  <c r="A150" i="1"/>
  <c r="B150" i="1"/>
  <c r="C150" i="1"/>
  <c r="D150" i="1"/>
  <c r="A151" i="1"/>
  <c r="B151" i="1"/>
  <c r="C151" i="1"/>
  <c r="D151" i="1"/>
  <c r="A152" i="1"/>
  <c r="B152" i="1"/>
  <c r="C152" i="1"/>
  <c r="D152" i="1"/>
  <c r="A153" i="1"/>
  <c r="B153" i="1"/>
  <c r="C153" i="1"/>
  <c r="D153" i="1"/>
  <c r="A154" i="1"/>
  <c r="B154" i="1"/>
  <c r="C154" i="1"/>
  <c r="D154" i="1"/>
  <c r="A155" i="1"/>
  <c r="B155" i="1"/>
  <c r="C155" i="1"/>
  <c r="D155" i="1"/>
  <c r="A156" i="1"/>
  <c r="B156" i="1"/>
  <c r="C156" i="1"/>
  <c r="D156" i="1"/>
  <c r="D17" i="1"/>
  <c r="C17" i="1"/>
  <c r="B17" i="1"/>
  <c r="V17" i="1" l="1"/>
  <c r="A17" i="1"/>
</calcChain>
</file>

<file path=xl/sharedStrings.xml><?xml version="1.0" encoding="utf-8"?>
<sst xmlns="http://schemas.openxmlformats.org/spreadsheetml/2006/main" count="666" uniqueCount="339">
  <si>
    <t>Nombre del Proyecto:</t>
  </si>
  <si>
    <t>Etapa Proyecto:</t>
  </si>
  <si>
    <t>Objetivo 1. Actividad 2. Muestreos y Analisis sedimentos</t>
  </si>
  <si>
    <t>Jefe Proyecto</t>
  </si>
  <si>
    <t>Gastón Vidal</t>
  </si>
  <si>
    <t xml:space="preserve">Institucion: </t>
  </si>
  <si>
    <t>INSTITUTO DE FOMENTO PESQUERO</t>
  </si>
  <si>
    <t xml:space="preserve">Nombre Sector: </t>
  </si>
  <si>
    <t>Región:</t>
  </si>
  <si>
    <t>Variables:</t>
  </si>
  <si>
    <t>Ph, Temperatura (°C), Redox transformado EHNHE (mV), Sulfuros (µM), Materia orgánica total (%),  arena(%), fango(%), grava(%), tamaño medio (Φ) y selección (Φ).</t>
  </si>
  <si>
    <t>Año muestreo:</t>
  </si>
  <si>
    <t xml:space="preserve">Equipos de medición: </t>
  </si>
  <si>
    <t xml:space="preserve">Draga Van Veen de 0,1 m2 </t>
  </si>
  <si>
    <t>Orion Star™ A324 pH/ISE Portable Multiparameter Meter. Thermo Scientific™</t>
  </si>
  <si>
    <t>Análisis de Materia organica Total  según Resolucion Exenta  3612-09. MINISTERIO DE ECONOMÍA, FOMENTO Y RECONSTRUCCIÓN; SUBSECRETARÍA DE PESCA</t>
  </si>
  <si>
    <t>Observaciones</t>
  </si>
  <si>
    <t>NOMB_PROY</t>
  </si>
  <si>
    <t>ETAP_PROY</t>
  </si>
  <si>
    <t>JEFE_PROY</t>
  </si>
  <si>
    <t>INST_PROY</t>
  </si>
  <si>
    <t>CAMPAÑA</t>
  </si>
  <si>
    <t>ZONA</t>
  </si>
  <si>
    <t>ESTACION</t>
  </si>
  <si>
    <t xml:space="preserve">Latitud S                </t>
  </si>
  <si>
    <t xml:space="preserve">Longitud W </t>
  </si>
  <si>
    <t>pH</t>
  </si>
  <si>
    <t>(ds)</t>
  </si>
  <si>
    <t>Temperatura (°C)</t>
  </si>
  <si>
    <t>Redox EHNHE (mV)</t>
  </si>
  <si>
    <t xml:space="preserve">Sulfuros (µM)   </t>
  </si>
  <si>
    <t>Materia orgánica total (%)</t>
  </si>
  <si>
    <t>Disco Secchi (m)</t>
  </si>
  <si>
    <t>Fecha</t>
  </si>
  <si>
    <t>Hora Muestreo</t>
  </si>
  <si>
    <t>Estacion</t>
  </si>
  <si>
    <t>ESTUDIO SEGUIMIENTO DESEMPEÑO AMBIENTAL ACUICULTURA EN CHILE Y SU EFECTO EN LOS ECOSISTEMAS DE EMPLAZAMIENTO 2021-2022</t>
  </si>
  <si>
    <t>Campaña_Inv_2021.Proy.SeguimientoAmbiental</t>
  </si>
  <si>
    <t>Estuario</t>
  </si>
  <si>
    <t>41°26'14,9''</t>
  </si>
  <si>
    <t>72°17'47,9''</t>
  </si>
  <si>
    <t>41°28'07,3''</t>
  </si>
  <si>
    <t>72°18'43,5''</t>
  </si>
  <si>
    <t>41°29'45,4''</t>
  </si>
  <si>
    <t>72°18'45,5''</t>
  </si>
  <si>
    <t>41°30'39,3''</t>
  </si>
  <si>
    <t>72°17'21,1''</t>
  </si>
  <si>
    <t>41°31'32,6''</t>
  </si>
  <si>
    <t>72°20'21,4''</t>
  </si>
  <si>
    <t>41°31'57,8''</t>
  </si>
  <si>
    <t>72°18'02,6''</t>
  </si>
  <si>
    <t>41°35'33,0''</t>
  </si>
  <si>
    <t>72°21'10,7''</t>
  </si>
  <si>
    <t>41°39'38,3''</t>
  </si>
  <si>
    <t>72°20'58,9''</t>
  </si>
  <si>
    <t>41°40'52,7''</t>
  </si>
  <si>
    <t>72°28'01,1''</t>
  </si>
  <si>
    <t>41°43'30,8''</t>
  </si>
  <si>
    <t>72°30'48,5''</t>
  </si>
  <si>
    <t>Reloncavi</t>
  </si>
  <si>
    <t>41°54'20,9''</t>
  </si>
  <si>
    <t>72°52'30,7''</t>
  </si>
  <si>
    <t>41°52'23,0''</t>
  </si>
  <si>
    <t>72°53'51,4''</t>
  </si>
  <si>
    <t>41°53'07,1''</t>
  </si>
  <si>
    <t>72°56'02,6''</t>
  </si>
  <si>
    <t>41°44'13,7''</t>
  </si>
  <si>
    <t>73°02'43,4''</t>
  </si>
  <si>
    <t>41°29'48,4''</t>
  </si>
  <si>
    <t>72°57'30,9''</t>
  </si>
  <si>
    <t>41°31'05,3''</t>
  </si>
  <si>
    <t>72°47'24,2''</t>
  </si>
  <si>
    <t>41°34'50,6''</t>
  </si>
  <si>
    <t>72°43'36,9''</t>
  </si>
  <si>
    <t>41°37'07,8''</t>
  </si>
  <si>
    <t>72°41'52,2''</t>
  </si>
  <si>
    <t>41°37'51,5''</t>
  </si>
  <si>
    <t>72°40'23,2''</t>
  </si>
  <si>
    <t>41°49'43,9''</t>
  </si>
  <si>
    <t>72°47'18,2''</t>
  </si>
  <si>
    <t>Calbuco</t>
  </si>
  <si>
    <t>41°44'42,2''</t>
  </si>
  <si>
    <t>73°06'10,3''</t>
  </si>
  <si>
    <t>41°46'30,1''</t>
  </si>
  <si>
    <t>73°05'05,2''</t>
  </si>
  <si>
    <t>41°43'14,7''</t>
  </si>
  <si>
    <t>73°09'33,2''</t>
  </si>
  <si>
    <t>41°48'22,6''</t>
  </si>
  <si>
    <t>73°10'18,3''</t>
  </si>
  <si>
    <t>41°47'05,8''</t>
  </si>
  <si>
    <t>41°50'16,4''</t>
  </si>
  <si>
    <t>73°04'47,2''</t>
  </si>
  <si>
    <t>41°49'59,8''</t>
  </si>
  <si>
    <t>73°06'29,1''</t>
  </si>
  <si>
    <t>41°50'19,0''</t>
  </si>
  <si>
    <t>73°08'22,5''</t>
  </si>
  <si>
    <t>Chacao</t>
  </si>
  <si>
    <t>41°56'59,3''</t>
  </si>
  <si>
    <t>73°31'34,3''</t>
  </si>
  <si>
    <t>41°54'15,1''</t>
  </si>
  <si>
    <t>73°29'06,8''</t>
  </si>
  <si>
    <t>41°52'17,3''</t>
  </si>
  <si>
    <t>73°31'07,9''</t>
  </si>
  <si>
    <t>41°51'15,7''</t>
  </si>
  <si>
    <t>73°28'51,2''</t>
  </si>
  <si>
    <t>Butachauques</t>
  </si>
  <si>
    <t>42°19'17,6''</t>
  </si>
  <si>
    <t>73°15'19,1''</t>
  </si>
  <si>
    <t>42°17'02,6''</t>
  </si>
  <si>
    <t>73°15'06,7''</t>
  </si>
  <si>
    <t>42°15'56,3''</t>
  </si>
  <si>
    <t>73°09'36,2''</t>
  </si>
  <si>
    <t>42°16'45,3''</t>
  </si>
  <si>
    <t>73°20'49,7''</t>
  </si>
  <si>
    <t>42°12'24,4''</t>
  </si>
  <si>
    <t>73°23'58,0''</t>
  </si>
  <si>
    <t>42°10'21,7''</t>
  </si>
  <si>
    <t>73°26'09,5''</t>
  </si>
  <si>
    <t>42°09'29,5''</t>
  </si>
  <si>
    <t>73°28'04,6''</t>
  </si>
  <si>
    <t>Chaulinec</t>
  </si>
  <si>
    <t>42°36'22,9''</t>
  </si>
  <si>
    <t>73°15'26,5''</t>
  </si>
  <si>
    <t>42°34'22,1''</t>
  </si>
  <si>
    <t>73°13'53,2''</t>
  </si>
  <si>
    <t>42°28'03,3''</t>
  </si>
  <si>
    <t>73°22'56,7''</t>
  </si>
  <si>
    <t>42°24'29,1''</t>
  </si>
  <si>
    <t>73°19'21,4''</t>
  </si>
  <si>
    <t>42°26'34,7''</t>
  </si>
  <si>
    <t>73°30'44,2''</t>
  </si>
  <si>
    <t>Tenaun</t>
  </si>
  <si>
    <t>42°22'46,5''</t>
  </si>
  <si>
    <t>73°35'59,1''</t>
  </si>
  <si>
    <t>42°23'07,4''</t>
  </si>
  <si>
    <t>73°37'44,8''</t>
  </si>
  <si>
    <t>42°22'15,1''</t>
  </si>
  <si>
    <t>73°37'31,1''</t>
  </si>
  <si>
    <t>42°21'39,1''</t>
  </si>
  <si>
    <t>73°34'41,7''</t>
  </si>
  <si>
    <t>42°20'26,0''</t>
  </si>
  <si>
    <t>73°32'00,9''</t>
  </si>
  <si>
    <t>Chiloe central</t>
  </si>
  <si>
    <t>42°30'46,9''</t>
  </si>
  <si>
    <t>73°45'15,6''</t>
  </si>
  <si>
    <t>42°32'59,2''</t>
  </si>
  <si>
    <t>73°40'15,8''</t>
  </si>
  <si>
    <t>42°32'09,3''</t>
  </si>
  <si>
    <t>73°36'13,2''</t>
  </si>
  <si>
    <t>42°30'29,3''</t>
  </si>
  <si>
    <t>73°36'11,3''</t>
  </si>
  <si>
    <t>42°28'33,3''</t>
  </si>
  <si>
    <t>73°32'41,1''</t>
  </si>
  <si>
    <t>42°30'59,3''</t>
  </si>
  <si>
    <t>73°28'21,5''</t>
  </si>
  <si>
    <t>42°42'13,5''</t>
  </si>
  <si>
    <t>73°37'38,2''</t>
  </si>
  <si>
    <t>42°36'54,6''</t>
  </si>
  <si>
    <t>73°27'10,2''</t>
  </si>
  <si>
    <t>Desertores</t>
  </si>
  <si>
    <t>42°47'03,0''</t>
  </si>
  <si>
    <t>72°56'35,9''</t>
  </si>
  <si>
    <t>42°47'56,1''</t>
  </si>
  <si>
    <t>72°57'23,7''</t>
  </si>
  <si>
    <t>42°45'36,0''</t>
  </si>
  <si>
    <t>72°59'51,7''</t>
  </si>
  <si>
    <t>42°42'06,5''</t>
  </si>
  <si>
    <t>73°05'34,1''</t>
  </si>
  <si>
    <t>Quellon</t>
  </si>
  <si>
    <t>43°11'43,2''</t>
  </si>
  <si>
    <t>73°38'11,2''</t>
  </si>
  <si>
    <t>43°07'39,5''</t>
  </si>
  <si>
    <t>73°43'28,6''</t>
  </si>
  <si>
    <t>43°08'32,2''</t>
  </si>
  <si>
    <t>73°40'13,7''</t>
  </si>
  <si>
    <t>43°11'33,5''</t>
  </si>
  <si>
    <t>73°34'23,8''</t>
  </si>
  <si>
    <t>43°08'26,2''</t>
  </si>
  <si>
    <t>73°33'10,7''</t>
  </si>
  <si>
    <t>43°03'07,5''</t>
  </si>
  <si>
    <t>73°27'46,7''</t>
  </si>
  <si>
    <t>43°02'06,1''</t>
  </si>
  <si>
    <t>73°31'33,1''</t>
  </si>
  <si>
    <t>42°59'21,8''</t>
  </si>
  <si>
    <t>73°28'05,5''</t>
  </si>
  <si>
    <t>42°56'21,2''</t>
  </si>
  <si>
    <t>73°36'49,9''</t>
  </si>
  <si>
    <t>42°55'25,9''</t>
  </si>
  <si>
    <t>73°35'04,7''</t>
  </si>
  <si>
    <t>42°51'22,8''</t>
  </si>
  <si>
    <t>73°41'30,9''</t>
  </si>
  <si>
    <t>42°54'15,3''</t>
  </si>
  <si>
    <t>73°29'27,9''</t>
  </si>
  <si>
    <t>Hornopiren</t>
  </si>
  <si>
    <t>42°04'27,1''</t>
  </si>
  <si>
    <t>72°27'59,7''</t>
  </si>
  <si>
    <t>42°02'09,6''</t>
  </si>
  <si>
    <t>72°35'58,5''</t>
  </si>
  <si>
    <t>42°03'01,3''</t>
  </si>
  <si>
    <t>72°35'37,3''</t>
  </si>
  <si>
    <t>42°14'33,8''</t>
  </si>
  <si>
    <t>72°26'50,7''</t>
  </si>
  <si>
    <t>42°15'24,5''</t>
  </si>
  <si>
    <t>72°23'46,8''</t>
  </si>
  <si>
    <t>Ayacara</t>
  </si>
  <si>
    <t>42°18'53,1''</t>
  </si>
  <si>
    <t>72°47'21,9''</t>
  </si>
  <si>
    <t>42°24'34,1''</t>
  </si>
  <si>
    <t>72°43'07,0''</t>
  </si>
  <si>
    <t>42°34'09,7''</t>
  </si>
  <si>
    <t>72°31'39,7''</t>
  </si>
  <si>
    <t>42°31'17,9''</t>
  </si>
  <si>
    <t>72°41'40,8''</t>
  </si>
  <si>
    <t>42°37'30,6''</t>
  </si>
  <si>
    <t>72°51'15,4''</t>
  </si>
  <si>
    <t>42°42'32,8''</t>
  </si>
  <si>
    <t>72°50'58,9''</t>
  </si>
  <si>
    <t>Chaiten</t>
  </si>
  <si>
    <t>42°47'11,1''</t>
  </si>
  <si>
    <t>72°50'49,9''</t>
  </si>
  <si>
    <t>42°55'27,6''</t>
  </si>
  <si>
    <t>72°44'59,6''</t>
  </si>
  <si>
    <t>43°14'38,9''</t>
  </si>
  <si>
    <t>72°53'08,2''</t>
  </si>
  <si>
    <t>43°15'50,9''</t>
  </si>
  <si>
    <t>72°58'35,0''</t>
  </si>
  <si>
    <t>43°35'29,8''</t>
  </si>
  <si>
    <t>73°00'22,5''</t>
  </si>
  <si>
    <t>43°37'57,9''</t>
  </si>
  <si>
    <t>72°57'04,9''</t>
  </si>
  <si>
    <t>43°41'46,5''</t>
  </si>
  <si>
    <t>72°59'44,6''</t>
  </si>
  <si>
    <t>Guaitecas</t>
  </si>
  <si>
    <t>44°29'31,1''</t>
  </si>
  <si>
    <t>74°09'42,8''</t>
  </si>
  <si>
    <t>44°14'18,4''</t>
  </si>
  <si>
    <t>74°13'20,7''</t>
  </si>
  <si>
    <t>44°08'29,0''</t>
  </si>
  <si>
    <t>74°02'09,0''</t>
  </si>
  <si>
    <t>44°04'53,4''</t>
  </si>
  <si>
    <t>73°52'53,7''</t>
  </si>
  <si>
    <t>43°54'56,5''</t>
  </si>
  <si>
    <t>73°54'32,1''</t>
  </si>
  <si>
    <t>43°53'29,1''</t>
  </si>
  <si>
    <t>73°52'19,9''</t>
  </si>
  <si>
    <t>43°56'38,0''</t>
  </si>
  <si>
    <t>73°48'00,0''</t>
  </si>
  <si>
    <t>44°00'31,4''</t>
  </si>
  <si>
    <t>73°45'11,0''</t>
  </si>
  <si>
    <t>44°17'15,5''</t>
  </si>
  <si>
    <t>73°46'39,1''</t>
  </si>
  <si>
    <t>Moraleda</t>
  </si>
  <si>
    <t>45°11'31,2''</t>
  </si>
  <si>
    <t>73°58'40,6''</t>
  </si>
  <si>
    <t>45°09'57,9''</t>
  </si>
  <si>
    <t>74°08'33,4''</t>
  </si>
  <si>
    <t>45°08'01,8''</t>
  </si>
  <si>
    <t>74°15'20,1''</t>
  </si>
  <si>
    <t>44°41'45,4''</t>
  </si>
  <si>
    <t>73°52'57,1''</t>
  </si>
  <si>
    <t>44°39'35,6''</t>
  </si>
  <si>
    <t>73°52'52,9''</t>
  </si>
  <si>
    <t>44°36'08,6''</t>
  </si>
  <si>
    <t>74°00'25,9''</t>
  </si>
  <si>
    <t>44°33'08,8''</t>
  </si>
  <si>
    <t>74°06'50,1''</t>
  </si>
  <si>
    <t>44°08'30,9''</t>
  </si>
  <si>
    <t>73°35'01,0''</t>
  </si>
  <si>
    <t>43°44'30,9''</t>
  </si>
  <si>
    <t>73°00'56,5''</t>
  </si>
  <si>
    <t>44°02'04,1''</t>
  </si>
  <si>
    <t>73°12'05,2''</t>
  </si>
  <si>
    <t>44°22'48,0''</t>
  </si>
  <si>
    <t>73°04'31,7''</t>
  </si>
  <si>
    <t>45°01'49,0''</t>
  </si>
  <si>
    <t>73°27'02,0''</t>
  </si>
  <si>
    <t>Puyuhuapi</t>
  </si>
  <si>
    <t>44°31'39,8''</t>
  </si>
  <si>
    <t>72°41'17,0''</t>
  </si>
  <si>
    <t>44°39'55,1''</t>
  </si>
  <si>
    <t>72°50'20,8''</t>
  </si>
  <si>
    <t>44°42'09,3''</t>
  </si>
  <si>
    <t>72°48'07,1''</t>
  </si>
  <si>
    <t>44°49'37,8''</t>
  </si>
  <si>
    <t>72°57'57,3''</t>
  </si>
  <si>
    <t>44°54'41,9''</t>
  </si>
  <si>
    <t>73°08'11,9''</t>
  </si>
  <si>
    <t>Aysen</t>
  </si>
  <si>
    <t>45°26'39,7''</t>
  </si>
  <si>
    <t>73°00'33,3''</t>
  </si>
  <si>
    <t>45°19'53,0''</t>
  </si>
  <si>
    <t>73°22'36,0''</t>
  </si>
  <si>
    <t>45°24'21,9''</t>
  </si>
  <si>
    <t>73°32'25,0''</t>
  </si>
  <si>
    <t>45°37'34,9''</t>
  </si>
  <si>
    <t>73°35'50,9''</t>
  </si>
  <si>
    <t>45°45'08,5''</t>
  </si>
  <si>
    <t>73°36'55,3''</t>
  </si>
  <si>
    <t>45°57'17,6''</t>
  </si>
  <si>
    <t>73°36'19,7''</t>
  </si>
  <si>
    <t>46°01'34,6''</t>
  </si>
  <si>
    <t>73°39'17,0''</t>
  </si>
  <si>
    <t>46°13'29,4''</t>
  </si>
  <si>
    <t>73°43'45,5''</t>
  </si>
  <si>
    <t>46°05'57,7''</t>
  </si>
  <si>
    <t>73°52'02,9''</t>
  </si>
  <si>
    <t>46°01'07,9''</t>
  </si>
  <si>
    <t>73°56'45,7''</t>
  </si>
  <si>
    <t>45°44'29,7''</t>
  </si>
  <si>
    <t>74°04'23,3''</t>
  </si>
  <si>
    <t>45°41'37,5''</t>
  </si>
  <si>
    <t>74°17'04,6''</t>
  </si>
  <si>
    <t>45°33'51,4''</t>
  </si>
  <si>
    <t>74°13'10,2''</t>
  </si>
  <si>
    <t>45°23'56,0''</t>
  </si>
  <si>
    <t>74°15'21,0''</t>
  </si>
  <si>
    <t>45°16'59,5''</t>
  </si>
  <si>
    <t>73°43'50,5''</t>
  </si>
  <si>
    <t>Natales</t>
  </si>
  <si>
    <t>51°36'04,7''</t>
  </si>
  <si>
    <t>72°43'01,6''</t>
  </si>
  <si>
    <t>51°40'18,2''</t>
  </si>
  <si>
    <t>72°37'53,1''</t>
  </si>
  <si>
    <t>51°49'29,7''</t>
  </si>
  <si>
    <t>72°37'39,8''</t>
  </si>
  <si>
    <t>51°46'01,6''</t>
  </si>
  <si>
    <t>72°54'05,0''</t>
  </si>
  <si>
    <t>52°03'57,8''</t>
  </si>
  <si>
    <t>72°56'02,0''</t>
  </si>
  <si>
    <t>52°11'59,7''</t>
  </si>
  <si>
    <t>72°57'03,6''</t>
  </si>
  <si>
    <t>52°13'10,4''</t>
  </si>
  <si>
    <t>72°52'26,1''</t>
  </si>
  <si>
    <t>52°04'39,3''</t>
  </si>
  <si>
    <t>72°39'37,6''</t>
  </si>
  <si>
    <t>Un total de 140 estaciones divididas en 18 zonas a lo largo del país desde la Región de Atacama hasta la Región de Magallanes</t>
  </si>
  <si>
    <t>sd</t>
  </si>
  <si>
    <t xml:space="preserve"> Región de Los Lagos, Región de Aysen del General Carlos Ibañez del Campo, Región de Magallanes.</t>
  </si>
  <si>
    <t>Seno Reloncaví, Estuario de Reloncavi, Calbuco, Chacao, Butachauques, Chaulinec, Tenaún; Chiloe Central, Desertores, Quellon, Hornopiren, Ayacara, Chaiten, Guaitecas, Moraleda, Puyuhuapi, Aysen, Puerto Natales.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</si>
</sst>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/mm/yyyy;@"/>
    <numFmt numFmtId="166" formatCode="\(0.00\)"/>
    <numFmt numFmtId="167" formatCode="dd/mm/yy;@"/>
  </numFmts>
  <fonts count="10" x14ac:knownFonts="1">
    <font>
      <sz val="11"/>
      <color theme="1"/>
      <name val="Calibri"/>
      <family val="2"/>
      <scheme val="minor"/>
    </font>
    <font>
      <b/>
      <i/>
      <sz val="10"/>
      <color rgb="FF0070C0"/>
      <name val="Arial Narrow"/>
      <family val="2"/>
    </font>
    <font>
      <b/>
      <sz val="10"/>
      <color rgb="FF0070C0"/>
      <name val="Arial Narrow"/>
      <family val="2"/>
    </font>
    <font>
      <sz val="10"/>
      <name val="Arial Narrow"/>
      <family val="2"/>
    </font>
    <font>
      <b/>
      <i/>
      <sz val="10"/>
      <color theme="1"/>
      <name val="Arial Narrow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b/>
      <sz val="11"/>
      <color rgb="FF00B050"/>
      <name val="Calibri"/>
      <family val="2"/>
      <scheme val="minor"/>
    </font>
    <font>
      <sz val="10"/>
      <color rgb="FF0070C0"/>
      <name val="Arial Narrow"/>
      <family val="2"/>
    </font>
    <font>
      <b/>
      <sz val="10"/>
      <color rgb="FF00B050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3" fillId="0" borderId="0" xfId="0" applyFont="1" applyFill="1" applyBorder="1"/>
    <xf numFmtId="0" fontId="4" fillId="0" borderId="0" xfId="0" applyFont="1" applyFill="1"/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2" fontId="5" fillId="0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Fill="1" applyBorder="1" applyAlignment="1">
      <alignment horizontal="center" vertical="center"/>
    </xf>
    <xf numFmtId="20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2" fontId="3" fillId="0" borderId="2" xfId="0" applyNumberFormat="1" applyFont="1" applyFill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14" fontId="3" fillId="0" borderId="0" xfId="0" applyNumberFormat="1" applyFont="1" applyFill="1" applyBorder="1" applyAlignment="1">
      <alignment horizontal="center"/>
    </xf>
    <xf numFmtId="20" fontId="3" fillId="0" borderId="0" xfId="0" applyNumberFormat="1" applyFont="1" applyFill="1" applyBorder="1" applyAlignment="1">
      <alignment horizontal="center"/>
    </xf>
    <xf numFmtId="14" fontId="3" fillId="0" borderId="2" xfId="0" applyNumberFormat="1" applyFont="1" applyFill="1" applyBorder="1" applyAlignment="1">
      <alignment horizontal="center"/>
    </xf>
    <xf numFmtId="20" fontId="3" fillId="0" borderId="2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167" fontId="3" fillId="0" borderId="0" xfId="0" applyNumberFormat="1" applyFont="1" applyFill="1" applyBorder="1" applyAlignment="1">
      <alignment horizontal="center"/>
    </xf>
    <xf numFmtId="167" fontId="3" fillId="0" borderId="2" xfId="0" applyNumberFormat="1" applyFont="1" applyFill="1" applyBorder="1" applyAlignment="1">
      <alignment horizontal="center"/>
    </xf>
    <xf numFmtId="164" fontId="3" fillId="0" borderId="2" xfId="0" applyNumberFormat="1" applyFont="1" applyFill="1" applyBorder="1" applyAlignment="1">
      <alignment horizontal="center"/>
    </xf>
    <xf numFmtId="165" fontId="3" fillId="0" borderId="0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166" fontId="3" fillId="0" borderId="0" xfId="0" applyNumberFormat="1" applyFont="1" applyBorder="1" applyAlignment="1">
      <alignment horizontal="left"/>
    </xf>
    <xf numFmtId="166" fontId="3" fillId="0" borderId="2" xfId="0" applyNumberFormat="1" applyFont="1" applyBorder="1" applyAlignment="1">
      <alignment horizontal="left"/>
    </xf>
    <xf numFmtId="166" fontId="3" fillId="0" borderId="0" xfId="0" applyNumberFormat="1" applyFont="1" applyFill="1" applyBorder="1" applyAlignment="1">
      <alignment horizontal="left"/>
    </xf>
    <xf numFmtId="166" fontId="3" fillId="0" borderId="2" xfId="0" applyNumberFormat="1" applyFont="1" applyFill="1" applyBorder="1" applyAlignment="1">
      <alignment horizontal="left"/>
    </xf>
    <xf numFmtId="2" fontId="3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4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9"/>
  <sheetViews>
    <sheetView tabSelected="1" workbookViewId="0"/>
  </sheetViews>
  <sheetFormatPr baseColWidth="10" defaultColWidth="8.7265625" defaultRowHeight="14.5" x14ac:dyDescent="0.35"/>
  <cols>
    <col min="1" max="1" width="33.1796875" customWidth="1"/>
    <col min="2" max="2" width="16.90625" customWidth="1"/>
    <col min="3" max="3" width="12.7265625" customWidth="1"/>
    <col min="4" max="4" width="15.81640625" customWidth="1"/>
    <col min="5" max="5" width="16.08984375" customWidth="1"/>
    <col min="11" max="11" width="8.7265625" style="40"/>
    <col min="13" max="13" width="8.7265625" style="40"/>
    <col min="15" max="15" width="8.7265625" style="40"/>
    <col min="17" max="17" width="8.7265625" style="40"/>
    <col min="18" max="18" width="13.453125" customWidth="1"/>
    <col min="19" max="19" width="15.1796875" customWidth="1"/>
  </cols>
  <sheetData>
    <row r="1" spans="1:22" x14ac:dyDescent="0.35">
      <c r="A1" s="1" t="s">
        <v>0</v>
      </c>
      <c r="B1" s="2" t="s">
        <v>36</v>
      </c>
    </row>
    <row r="2" spans="1:22" x14ac:dyDescent="0.35">
      <c r="A2" s="1" t="s">
        <v>1</v>
      </c>
      <c r="B2" s="3" t="s">
        <v>2</v>
      </c>
    </row>
    <row r="3" spans="1:22" x14ac:dyDescent="0.35">
      <c r="A3" s="1" t="s">
        <v>3</v>
      </c>
      <c r="B3" s="3" t="s">
        <v>4</v>
      </c>
    </row>
    <row r="4" spans="1:22" x14ac:dyDescent="0.35">
      <c r="A4" s="1" t="s">
        <v>5</v>
      </c>
      <c r="B4" s="3" t="s">
        <v>6</v>
      </c>
    </row>
    <row r="5" spans="1:22" x14ac:dyDescent="0.35">
      <c r="A5" s="1" t="s">
        <v>7</v>
      </c>
      <c r="B5" s="2" t="s">
        <v>338</v>
      </c>
    </row>
    <row r="6" spans="1:22" x14ac:dyDescent="0.35">
      <c r="A6" s="1" t="s">
        <v>8</v>
      </c>
      <c r="B6" s="2" t="s">
        <v>337</v>
      </c>
    </row>
    <row r="7" spans="1:22" x14ac:dyDescent="0.35">
      <c r="A7" s="1" t="s">
        <v>9</v>
      </c>
      <c r="B7" s="2" t="s">
        <v>10</v>
      </c>
    </row>
    <row r="8" spans="1:22" x14ac:dyDescent="0.35">
      <c r="A8" s="1" t="s">
        <v>11</v>
      </c>
      <c r="B8" s="4">
        <v>2021</v>
      </c>
    </row>
    <row r="9" spans="1:22" x14ac:dyDescent="0.35">
      <c r="A9" s="1" t="s">
        <v>12</v>
      </c>
      <c r="B9" s="2" t="s">
        <v>13</v>
      </c>
    </row>
    <row r="10" spans="1:22" x14ac:dyDescent="0.35">
      <c r="A10" s="5"/>
      <c r="B10" s="2" t="s">
        <v>14</v>
      </c>
    </row>
    <row r="11" spans="1:22" x14ac:dyDescent="0.35">
      <c r="A11" s="6"/>
      <c r="B11" s="2" t="s">
        <v>15</v>
      </c>
    </row>
    <row r="12" spans="1:22" x14ac:dyDescent="0.35">
      <c r="A12" s="1" t="s">
        <v>16</v>
      </c>
      <c r="B12" s="2" t="s">
        <v>335</v>
      </c>
    </row>
    <row r="16" spans="1:22" ht="28" x14ac:dyDescent="0.35">
      <c r="A16" s="7" t="s">
        <v>17</v>
      </c>
      <c r="B16" s="7" t="s">
        <v>18</v>
      </c>
      <c r="C16" s="7" t="s">
        <v>19</v>
      </c>
      <c r="D16" s="7" t="s">
        <v>20</v>
      </c>
      <c r="E16" s="7" t="s">
        <v>21</v>
      </c>
      <c r="F16" s="7" t="s">
        <v>22</v>
      </c>
      <c r="G16" s="7" t="s">
        <v>23</v>
      </c>
      <c r="H16" s="8" t="s">
        <v>24</v>
      </c>
      <c r="I16" s="8" t="s">
        <v>25</v>
      </c>
      <c r="J16" s="7" t="s">
        <v>26</v>
      </c>
      <c r="K16" s="41" t="s">
        <v>27</v>
      </c>
      <c r="L16" s="9" t="s">
        <v>28</v>
      </c>
      <c r="M16" s="41" t="s">
        <v>27</v>
      </c>
      <c r="N16" s="9" t="s">
        <v>29</v>
      </c>
      <c r="O16" s="41" t="s">
        <v>27</v>
      </c>
      <c r="P16" s="9" t="s">
        <v>30</v>
      </c>
      <c r="Q16" s="41" t="s">
        <v>27</v>
      </c>
      <c r="R16" s="9" t="s">
        <v>31</v>
      </c>
      <c r="S16" s="10" t="s">
        <v>32</v>
      </c>
      <c r="T16" s="11" t="s">
        <v>33</v>
      </c>
      <c r="U16" s="12" t="s">
        <v>34</v>
      </c>
      <c r="V16" s="13" t="s">
        <v>35</v>
      </c>
    </row>
    <row r="17" spans="1:22" x14ac:dyDescent="0.35">
      <c r="A17" t="str">
        <f>$B$1</f>
        <v>ESTUDIO SEGUIMIENTO DESEMPEÑO AMBIENTAL ACUICULTURA EN CHILE Y SU EFECTO EN LOS ECOSISTEMAS DE EMPLAZAMIENTO 2021-2022</v>
      </c>
      <c r="B17" t="str">
        <f>$B$2</f>
        <v>Objetivo 1. Actividad 2. Muestreos y Analisis sedimentos</v>
      </c>
      <c r="C17" t="str">
        <f>$B$3</f>
        <v>Gastón Vidal</v>
      </c>
      <c r="D17" t="str">
        <f>$B$4</f>
        <v>INSTITUTO DE FOMENTO PESQUERO</v>
      </c>
      <c r="E17" s="15" t="s">
        <v>37</v>
      </c>
      <c r="F17" s="16" t="s">
        <v>38</v>
      </c>
      <c r="G17" s="17">
        <v>1</v>
      </c>
      <c r="H17" s="18" t="s">
        <v>39</v>
      </c>
      <c r="I17" s="18" t="s">
        <v>40</v>
      </c>
      <c r="J17" s="23">
        <v>7.1866666666666665</v>
      </c>
      <c r="K17" s="42">
        <v>0.18556220879622379</v>
      </c>
      <c r="L17" s="25">
        <v>12.5</v>
      </c>
      <c r="M17" s="42">
        <v>0.19999999999999929</v>
      </c>
      <c r="N17" s="25">
        <v>-70.2</v>
      </c>
      <c r="O17" s="42">
        <v>60.709389718559997</v>
      </c>
      <c r="P17" s="25">
        <v>2011.0306235245644</v>
      </c>
      <c r="Q17" s="42">
        <v>606.56390657684312</v>
      </c>
      <c r="R17" s="23">
        <v>4.5953105072108578</v>
      </c>
      <c r="S17" s="27">
        <v>2.5</v>
      </c>
      <c r="T17" s="28">
        <v>44515</v>
      </c>
      <c r="U17" s="29">
        <v>0.64583333333333337</v>
      </c>
      <c r="V17" s="14">
        <f>G17</f>
        <v>1</v>
      </c>
    </row>
    <row r="18" spans="1:22" x14ac:dyDescent="0.35">
      <c r="A18" t="str">
        <f t="shared" ref="A18:A81" si="0">$B$1</f>
        <v>ESTUDIO SEGUIMIENTO DESEMPEÑO AMBIENTAL ACUICULTURA EN CHILE Y SU EFECTO EN LOS ECOSISTEMAS DE EMPLAZAMIENTO 2021-2022</v>
      </c>
      <c r="B18" t="str">
        <f t="shared" ref="B18:B81" si="1">$B$2</f>
        <v>Objetivo 1. Actividad 2. Muestreos y Analisis sedimentos</v>
      </c>
      <c r="C18" t="str">
        <f t="shared" ref="C18:C81" si="2">$B$3</f>
        <v>Gastón Vidal</v>
      </c>
      <c r="D18" t="str">
        <f t="shared" ref="D18:D81" si="3">$B$4</f>
        <v>INSTITUTO DE FOMENTO PESQUERO</v>
      </c>
      <c r="E18" s="15" t="s">
        <v>37</v>
      </c>
      <c r="F18" s="16" t="s">
        <v>38</v>
      </c>
      <c r="G18" s="17">
        <v>2</v>
      </c>
      <c r="H18" s="18" t="s">
        <v>41</v>
      </c>
      <c r="I18" s="18" t="s">
        <v>42</v>
      </c>
      <c r="J18" s="23">
        <v>7.416666666666667</v>
      </c>
      <c r="K18" s="42">
        <v>3.0550504633039155E-2</v>
      </c>
      <c r="L18" s="25">
        <v>12.433333333333332</v>
      </c>
      <c r="M18" s="42">
        <v>0.25166114784235827</v>
      </c>
      <c r="N18" s="25">
        <v>82.533333333333331</v>
      </c>
      <c r="O18" s="42">
        <v>21.241547338490545</v>
      </c>
      <c r="P18" s="25">
        <v>199.2302566256291</v>
      </c>
      <c r="Q18" s="42">
        <v>50.204753208521588</v>
      </c>
      <c r="R18" s="23">
        <v>2.9548546942588887</v>
      </c>
      <c r="S18" s="27">
        <v>1.5</v>
      </c>
      <c r="T18" s="28">
        <v>44515</v>
      </c>
      <c r="U18" s="29">
        <v>0.61805555555555558</v>
      </c>
      <c r="V18" s="14">
        <f t="shared" ref="V18:V81" si="4">G18</f>
        <v>2</v>
      </c>
    </row>
    <row r="19" spans="1:22" x14ac:dyDescent="0.35">
      <c r="A19" t="str">
        <f t="shared" si="0"/>
        <v>ESTUDIO SEGUIMIENTO DESEMPEÑO AMBIENTAL ACUICULTURA EN CHILE Y SU EFECTO EN LOS ECOSISTEMAS DE EMPLAZAMIENTO 2021-2022</v>
      </c>
      <c r="B19" t="str">
        <f t="shared" si="1"/>
        <v>Objetivo 1. Actividad 2. Muestreos y Analisis sedimentos</v>
      </c>
      <c r="C19" t="str">
        <f t="shared" si="2"/>
        <v>Gastón Vidal</v>
      </c>
      <c r="D19" t="str">
        <f t="shared" si="3"/>
        <v>INSTITUTO DE FOMENTO PESQUERO</v>
      </c>
      <c r="E19" s="15" t="s">
        <v>37</v>
      </c>
      <c r="F19" s="16" t="s">
        <v>38</v>
      </c>
      <c r="G19" s="17">
        <v>3</v>
      </c>
      <c r="H19" s="18" t="s">
        <v>43</v>
      </c>
      <c r="I19" s="18" t="s">
        <v>44</v>
      </c>
      <c r="J19" s="23">
        <v>7.6466666666666674</v>
      </c>
      <c r="K19" s="42">
        <v>0.18339392937971871</v>
      </c>
      <c r="L19" s="25">
        <v>12.533333333333333</v>
      </c>
      <c r="M19" s="42">
        <v>0.50332229568471665</v>
      </c>
      <c r="N19" s="25">
        <v>391.5</v>
      </c>
      <c r="O19" s="42">
        <v>22.162355470481938</v>
      </c>
      <c r="P19" s="25" t="s">
        <v>336</v>
      </c>
      <c r="Q19" s="42"/>
      <c r="R19" s="23">
        <v>1.2332320848922524</v>
      </c>
      <c r="S19" s="27">
        <v>2.5</v>
      </c>
      <c r="T19" s="28">
        <v>44515</v>
      </c>
      <c r="U19" s="29">
        <v>0.59027777777777779</v>
      </c>
      <c r="V19" s="14">
        <f t="shared" si="4"/>
        <v>3</v>
      </c>
    </row>
    <row r="20" spans="1:22" x14ac:dyDescent="0.35">
      <c r="A20" t="str">
        <f t="shared" si="0"/>
        <v>ESTUDIO SEGUIMIENTO DESEMPEÑO AMBIENTAL ACUICULTURA EN CHILE Y SU EFECTO EN LOS ECOSISTEMAS DE EMPLAZAMIENTO 2021-2022</v>
      </c>
      <c r="B20" t="str">
        <f t="shared" si="1"/>
        <v>Objetivo 1. Actividad 2. Muestreos y Analisis sedimentos</v>
      </c>
      <c r="C20" t="str">
        <f t="shared" si="2"/>
        <v>Gastón Vidal</v>
      </c>
      <c r="D20" t="str">
        <f t="shared" si="3"/>
        <v>INSTITUTO DE FOMENTO PESQUERO</v>
      </c>
      <c r="E20" s="15" t="s">
        <v>37</v>
      </c>
      <c r="F20" s="16" t="s">
        <v>38</v>
      </c>
      <c r="G20" s="17">
        <v>5</v>
      </c>
      <c r="H20" s="18" t="s">
        <v>45</v>
      </c>
      <c r="I20" s="18" t="s">
        <v>46</v>
      </c>
      <c r="J20" s="23">
        <v>7.5433333333333339</v>
      </c>
      <c r="K20" s="42">
        <v>0.10503967504392486</v>
      </c>
      <c r="L20" s="25">
        <v>14.233333333333334</v>
      </c>
      <c r="M20" s="42">
        <v>5.77350269189634E-2</v>
      </c>
      <c r="N20" s="25">
        <v>320.73333333333329</v>
      </c>
      <c r="O20" s="42">
        <v>6.8391032550571742</v>
      </c>
      <c r="P20" s="25">
        <v>40.28348300110229</v>
      </c>
      <c r="Q20" s="42">
        <v>19.919238213282817</v>
      </c>
      <c r="R20" s="23">
        <v>0.81517124257006446</v>
      </c>
      <c r="S20" s="27">
        <v>2.5</v>
      </c>
      <c r="T20" s="28">
        <v>44515</v>
      </c>
      <c r="U20" s="29">
        <v>0.57291666666666663</v>
      </c>
      <c r="V20" s="14">
        <f t="shared" si="4"/>
        <v>5</v>
      </c>
    </row>
    <row r="21" spans="1:22" x14ac:dyDescent="0.35">
      <c r="A21" t="str">
        <f t="shared" si="0"/>
        <v>ESTUDIO SEGUIMIENTO DESEMPEÑO AMBIENTAL ACUICULTURA EN CHILE Y SU EFECTO EN LOS ECOSISTEMAS DE EMPLAZAMIENTO 2021-2022</v>
      </c>
      <c r="B21" t="str">
        <f t="shared" si="1"/>
        <v>Objetivo 1. Actividad 2. Muestreos y Analisis sedimentos</v>
      </c>
      <c r="C21" t="str">
        <f t="shared" si="2"/>
        <v>Gastón Vidal</v>
      </c>
      <c r="D21" t="str">
        <f t="shared" si="3"/>
        <v>INSTITUTO DE FOMENTO PESQUERO</v>
      </c>
      <c r="E21" s="15" t="s">
        <v>37</v>
      </c>
      <c r="F21" s="16" t="s">
        <v>38</v>
      </c>
      <c r="G21" s="17">
        <v>6</v>
      </c>
      <c r="H21" s="18" t="s">
        <v>47</v>
      </c>
      <c r="I21" s="18" t="s">
        <v>48</v>
      </c>
      <c r="J21" s="23">
        <v>7.5100000000000007</v>
      </c>
      <c r="K21" s="42">
        <v>2.9999999999999805E-2</v>
      </c>
      <c r="L21" s="25">
        <v>11.833333333333334</v>
      </c>
      <c r="M21" s="42">
        <v>0.11547005383792577</v>
      </c>
      <c r="N21" s="25">
        <v>170.29999999999998</v>
      </c>
      <c r="O21" s="42">
        <v>105.01276112930276</v>
      </c>
      <c r="P21" s="25">
        <v>233.63811455129294</v>
      </c>
      <c r="Q21" s="42">
        <v>90.875505505678035</v>
      </c>
      <c r="R21" s="23">
        <v>1.9898358692481299</v>
      </c>
      <c r="S21" s="27">
        <v>2.5</v>
      </c>
      <c r="T21" s="28">
        <v>44515</v>
      </c>
      <c r="U21" s="29">
        <v>0.47569444444444442</v>
      </c>
      <c r="V21" s="14">
        <f t="shared" si="4"/>
        <v>6</v>
      </c>
    </row>
    <row r="22" spans="1:22" x14ac:dyDescent="0.35">
      <c r="A22" t="str">
        <f t="shared" si="0"/>
        <v>ESTUDIO SEGUIMIENTO DESEMPEÑO AMBIENTAL ACUICULTURA EN CHILE Y SU EFECTO EN LOS ECOSISTEMAS DE EMPLAZAMIENTO 2021-2022</v>
      </c>
      <c r="B22" t="str">
        <f t="shared" si="1"/>
        <v>Objetivo 1. Actividad 2. Muestreos y Analisis sedimentos</v>
      </c>
      <c r="C22" t="str">
        <f t="shared" si="2"/>
        <v>Gastón Vidal</v>
      </c>
      <c r="D22" t="str">
        <f t="shared" si="3"/>
        <v>INSTITUTO DE FOMENTO PESQUERO</v>
      </c>
      <c r="E22" s="15" t="s">
        <v>37</v>
      </c>
      <c r="F22" s="16" t="s">
        <v>38</v>
      </c>
      <c r="G22" s="17">
        <v>7</v>
      </c>
      <c r="H22" s="18" t="s">
        <v>49</v>
      </c>
      <c r="I22" s="18" t="s">
        <v>50</v>
      </c>
      <c r="J22" s="23">
        <v>8.7166666666666668</v>
      </c>
      <c r="K22" s="42">
        <v>0.1242309676905609</v>
      </c>
      <c r="L22" s="25">
        <v>12.566666666666668</v>
      </c>
      <c r="M22" s="42">
        <v>0.75055534994651341</v>
      </c>
      <c r="N22" s="25">
        <v>234.4666666666667</v>
      </c>
      <c r="O22" s="42">
        <v>73.975491436916698</v>
      </c>
      <c r="P22" s="25" t="s">
        <v>336</v>
      </c>
      <c r="Q22" s="42"/>
      <c r="R22" s="23" t="s">
        <v>336</v>
      </c>
      <c r="S22" s="27">
        <v>2</v>
      </c>
      <c r="T22" s="28">
        <v>44515</v>
      </c>
      <c r="U22" s="29">
        <v>0.50347222222222221</v>
      </c>
      <c r="V22" s="14">
        <f t="shared" si="4"/>
        <v>7</v>
      </c>
    </row>
    <row r="23" spans="1:22" x14ac:dyDescent="0.35">
      <c r="A23" t="str">
        <f t="shared" si="0"/>
        <v>ESTUDIO SEGUIMIENTO DESEMPEÑO AMBIENTAL ACUICULTURA EN CHILE Y SU EFECTO EN LOS ECOSISTEMAS DE EMPLAZAMIENTO 2021-2022</v>
      </c>
      <c r="B23" t="str">
        <f t="shared" si="1"/>
        <v>Objetivo 1. Actividad 2. Muestreos y Analisis sedimentos</v>
      </c>
      <c r="C23" t="str">
        <f t="shared" si="2"/>
        <v>Gastón Vidal</v>
      </c>
      <c r="D23" t="str">
        <f t="shared" si="3"/>
        <v>INSTITUTO DE FOMENTO PESQUERO</v>
      </c>
      <c r="E23" s="15" t="s">
        <v>37</v>
      </c>
      <c r="F23" s="16" t="s">
        <v>38</v>
      </c>
      <c r="G23" s="17">
        <v>8</v>
      </c>
      <c r="H23" s="18" t="s">
        <v>51</v>
      </c>
      <c r="I23" s="18" t="s">
        <v>52</v>
      </c>
      <c r="J23" s="23">
        <v>7.4366666666666674</v>
      </c>
      <c r="K23" s="42">
        <v>5.7735026918966474E-3</v>
      </c>
      <c r="L23" s="25">
        <v>11.433333333333332</v>
      </c>
      <c r="M23" s="42">
        <v>0.15275252316519414</v>
      </c>
      <c r="N23" s="25">
        <v>137.79999999999998</v>
      </c>
      <c r="O23" s="42">
        <v>89.135907467193078</v>
      </c>
      <c r="P23" s="25">
        <v>372.2525625654186</v>
      </c>
      <c r="Q23" s="42">
        <v>152.95727114186701</v>
      </c>
      <c r="R23" s="23">
        <v>3.2262697714501241</v>
      </c>
      <c r="S23" s="27">
        <v>2</v>
      </c>
      <c r="T23" s="28">
        <v>44515</v>
      </c>
      <c r="U23" s="29">
        <v>0.44444444444444442</v>
      </c>
      <c r="V23" s="14">
        <f t="shared" si="4"/>
        <v>8</v>
      </c>
    </row>
    <row r="24" spans="1:22" x14ac:dyDescent="0.35">
      <c r="A24" t="str">
        <f t="shared" si="0"/>
        <v>ESTUDIO SEGUIMIENTO DESEMPEÑO AMBIENTAL ACUICULTURA EN CHILE Y SU EFECTO EN LOS ECOSISTEMAS DE EMPLAZAMIENTO 2021-2022</v>
      </c>
      <c r="B24" t="str">
        <f t="shared" si="1"/>
        <v>Objetivo 1. Actividad 2. Muestreos y Analisis sedimentos</v>
      </c>
      <c r="C24" t="str">
        <f t="shared" si="2"/>
        <v>Gastón Vidal</v>
      </c>
      <c r="D24" t="str">
        <f t="shared" si="3"/>
        <v>INSTITUTO DE FOMENTO PESQUERO</v>
      </c>
      <c r="E24" s="15" t="s">
        <v>37</v>
      </c>
      <c r="F24" s="16" t="s">
        <v>38</v>
      </c>
      <c r="G24" s="17">
        <v>12</v>
      </c>
      <c r="H24" s="18" t="s">
        <v>53</v>
      </c>
      <c r="I24" s="18" t="s">
        <v>54</v>
      </c>
      <c r="J24" s="23">
        <v>7.4233333333333329</v>
      </c>
      <c r="K24" s="42">
        <v>6.4291005073286514E-2</v>
      </c>
      <c r="L24" s="25">
        <v>11.666666666666666</v>
      </c>
      <c r="M24" s="42">
        <v>0.66583281184793963</v>
      </c>
      <c r="N24" s="25">
        <v>104.13333333333333</v>
      </c>
      <c r="O24" s="42">
        <v>17.287664195412237</v>
      </c>
      <c r="P24" s="25">
        <v>104.63497572173611</v>
      </c>
      <c r="Q24" s="42">
        <v>47.911984264728993</v>
      </c>
      <c r="R24" s="23">
        <v>2.6279015604378664</v>
      </c>
      <c r="S24" s="27">
        <v>2.5</v>
      </c>
      <c r="T24" s="28">
        <v>44515</v>
      </c>
      <c r="U24" s="29">
        <v>0.41319444444444442</v>
      </c>
      <c r="V24" s="14">
        <f t="shared" si="4"/>
        <v>12</v>
      </c>
    </row>
    <row r="25" spans="1:22" x14ac:dyDescent="0.35">
      <c r="A25" t="str">
        <f t="shared" si="0"/>
        <v>ESTUDIO SEGUIMIENTO DESEMPEÑO AMBIENTAL ACUICULTURA EN CHILE Y SU EFECTO EN LOS ECOSISTEMAS DE EMPLAZAMIENTO 2021-2022</v>
      </c>
      <c r="B25" t="str">
        <f t="shared" si="1"/>
        <v>Objetivo 1. Actividad 2. Muestreos y Analisis sedimentos</v>
      </c>
      <c r="C25" t="str">
        <f t="shared" si="2"/>
        <v>Gastón Vidal</v>
      </c>
      <c r="D25" t="str">
        <f t="shared" si="3"/>
        <v>INSTITUTO DE FOMENTO PESQUERO</v>
      </c>
      <c r="E25" s="15" t="s">
        <v>37</v>
      </c>
      <c r="F25" s="16" t="s">
        <v>38</v>
      </c>
      <c r="G25" s="17">
        <v>17</v>
      </c>
      <c r="H25" s="18" t="s">
        <v>55</v>
      </c>
      <c r="I25" s="18" t="s">
        <v>56</v>
      </c>
      <c r="J25" s="23">
        <v>7.5200000000000005</v>
      </c>
      <c r="K25" s="42">
        <v>0.17000000000000037</v>
      </c>
      <c r="L25" s="25">
        <v>13.233333333333333</v>
      </c>
      <c r="M25" s="42">
        <v>0.35118845842842428</v>
      </c>
      <c r="N25" s="25">
        <v>427.23333333333335</v>
      </c>
      <c r="O25" s="42">
        <v>2.4878439927471668E-2</v>
      </c>
      <c r="P25" s="25">
        <v>57.089832390979133</v>
      </c>
      <c r="Q25" s="42">
        <v>13.813546525444885</v>
      </c>
      <c r="R25" s="23">
        <v>1.3961998170393324</v>
      </c>
      <c r="S25" s="27">
        <v>2.5</v>
      </c>
      <c r="T25" s="28">
        <v>44515</v>
      </c>
      <c r="U25" s="29">
        <v>0.375</v>
      </c>
      <c r="V25" s="14">
        <f t="shared" si="4"/>
        <v>17</v>
      </c>
    </row>
    <row r="26" spans="1:22" x14ac:dyDescent="0.35">
      <c r="A26" t="str">
        <f t="shared" si="0"/>
        <v>ESTUDIO SEGUIMIENTO DESEMPEÑO AMBIENTAL ACUICULTURA EN CHILE Y SU EFECTO EN LOS ECOSISTEMAS DE EMPLAZAMIENTO 2021-2022</v>
      </c>
      <c r="B26" t="str">
        <f t="shared" si="1"/>
        <v>Objetivo 1. Actividad 2. Muestreos y Analisis sedimentos</v>
      </c>
      <c r="C26" t="str">
        <f t="shared" si="2"/>
        <v>Gastón Vidal</v>
      </c>
      <c r="D26" t="str">
        <f t="shared" si="3"/>
        <v>INSTITUTO DE FOMENTO PESQUERO</v>
      </c>
      <c r="E26" s="15" t="s">
        <v>37</v>
      </c>
      <c r="F26" s="16" t="s">
        <v>38</v>
      </c>
      <c r="G26" s="17">
        <v>21</v>
      </c>
      <c r="H26" s="18" t="s">
        <v>57</v>
      </c>
      <c r="I26" s="18" t="s">
        <v>58</v>
      </c>
      <c r="J26" s="23">
        <v>7.37</v>
      </c>
      <c r="K26" s="42">
        <v>0.13999999999999968</v>
      </c>
      <c r="L26" s="25">
        <v>12.266666666666666</v>
      </c>
      <c r="M26" s="42">
        <v>0.70237691685684944</v>
      </c>
      <c r="N26" s="25">
        <v>147.96666666666667</v>
      </c>
      <c r="O26" s="42">
        <v>0.67920386948537992</v>
      </c>
      <c r="P26" s="25">
        <v>428.17864059950017</v>
      </c>
      <c r="Q26" s="42">
        <v>43.797698547409325</v>
      </c>
      <c r="R26" s="23">
        <v>2.3366521970662752</v>
      </c>
      <c r="S26" s="27">
        <v>2</v>
      </c>
      <c r="T26" s="28">
        <v>44515</v>
      </c>
      <c r="U26" s="29">
        <v>0.34722222222222227</v>
      </c>
      <c r="V26" s="14">
        <f t="shared" si="4"/>
        <v>21</v>
      </c>
    </row>
    <row r="27" spans="1:22" x14ac:dyDescent="0.35">
      <c r="A27" t="str">
        <f t="shared" si="0"/>
        <v>ESTUDIO SEGUIMIENTO DESEMPEÑO AMBIENTAL ACUICULTURA EN CHILE Y SU EFECTO EN LOS ECOSISTEMAS DE EMPLAZAMIENTO 2021-2022</v>
      </c>
      <c r="B27" t="str">
        <f t="shared" si="1"/>
        <v>Objetivo 1. Actividad 2. Muestreos y Analisis sedimentos</v>
      </c>
      <c r="C27" t="str">
        <f t="shared" si="2"/>
        <v>Gastón Vidal</v>
      </c>
      <c r="D27" t="str">
        <f t="shared" si="3"/>
        <v>INSTITUTO DE FOMENTO PESQUERO</v>
      </c>
      <c r="E27" s="15" t="s">
        <v>37</v>
      </c>
      <c r="F27" s="16" t="s">
        <v>59</v>
      </c>
      <c r="G27" s="17">
        <v>3</v>
      </c>
      <c r="H27" s="19" t="s">
        <v>60</v>
      </c>
      <c r="I27" s="19" t="s">
        <v>61</v>
      </c>
      <c r="J27" s="23">
        <v>7.94</v>
      </c>
      <c r="K27" s="44">
        <v>0.12529964086141712</v>
      </c>
      <c r="L27" s="23">
        <v>13.5</v>
      </c>
      <c r="M27" s="44">
        <v>0.17320508075688709</v>
      </c>
      <c r="N27" s="25">
        <v>369.4666666666667</v>
      </c>
      <c r="O27" s="44">
        <v>22.458257575629805</v>
      </c>
      <c r="P27" s="25" t="s">
        <v>336</v>
      </c>
      <c r="Q27" s="42"/>
      <c r="R27" s="23">
        <v>1.0070202192832423</v>
      </c>
      <c r="S27" s="19">
        <v>3.5</v>
      </c>
      <c r="T27" s="30">
        <v>44501</v>
      </c>
      <c r="U27" s="31">
        <v>0.63541666666666663</v>
      </c>
      <c r="V27" s="14">
        <f t="shared" si="4"/>
        <v>3</v>
      </c>
    </row>
    <row r="28" spans="1:22" x14ac:dyDescent="0.35">
      <c r="A28" t="str">
        <f t="shared" si="0"/>
        <v>ESTUDIO SEGUIMIENTO DESEMPEÑO AMBIENTAL ACUICULTURA EN CHILE Y SU EFECTO EN LOS ECOSISTEMAS DE EMPLAZAMIENTO 2021-2022</v>
      </c>
      <c r="B28" t="str">
        <f t="shared" si="1"/>
        <v>Objetivo 1. Actividad 2. Muestreos y Analisis sedimentos</v>
      </c>
      <c r="C28" t="str">
        <f t="shared" si="2"/>
        <v>Gastón Vidal</v>
      </c>
      <c r="D28" t="str">
        <f t="shared" si="3"/>
        <v>INSTITUTO DE FOMENTO PESQUERO</v>
      </c>
      <c r="E28" s="15" t="s">
        <v>37</v>
      </c>
      <c r="F28" s="16" t="s">
        <v>59</v>
      </c>
      <c r="G28" s="17">
        <v>4</v>
      </c>
      <c r="H28" s="19" t="s">
        <v>62</v>
      </c>
      <c r="I28" s="19" t="s">
        <v>63</v>
      </c>
      <c r="J28" s="23">
        <v>7.830000000000001</v>
      </c>
      <c r="K28" s="44">
        <v>9.9999999999997868E-3</v>
      </c>
      <c r="L28" s="23">
        <v>12.700000000000001</v>
      </c>
      <c r="M28" s="44">
        <v>0.26457513110645914</v>
      </c>
      <c r="N28" s="25">
        <v>369.3</v>
      </c>
      <c r="O28" s="44">
        <v>7.8479296632933817</v>
      </c>
      <c r="P28" s="25" t="s">
        <v>336</v>
      </c>
      <c r="Q28" s="42"/>
      <c r="R28" s="23">
        <v>1.1958126425982878</v>
      </c>
      <c r="S28" s="19">
        <v>3</v>
      </c>
      <c r="T28" s="30">
        <v>44501</v>
      </c>
      <c r="U28" s="31">
        <v>0.67222222222222217</v>
      </c>
      <c r="V28" s="14">
        <f t="shared" si="4"/>
        <v>4</v>
      </c>
    </row>
    <row r="29" spans="1:22" x14ac:dyDescent="0.35">
      <c r="A29" t="str">
        <f t="shared" si="0"/>
        <v>ESTUDIO SEGUIMIENTO DESEMPEÑO AMBIENTAL ACUICULTURA EN CHILE Y SU EFECTO EN LOS ECOSISTEMAS DE EMPLAZAMIENTO 2021-2022</v>
      </c>
      <c r="B29" t="str">
        <f t="shared" si="1"/>
        <v>Objetivo 1. Actividad 2. Muestreos y Analisis sedimentos</v>
      </c>
      <c r="C29" t="str">
        <f t="shared" si="2"/>
        <v>Gastón Vidal</v>
      </c>
      <c r="D29" t="str">
        <f t="shared" si="3"/>
        <v>INSTITUTO DE FOMENTO PESQUERO</v>
      </c>
      <c r="E29" s="15" t="s">
        <v>37</v>
      </c>
      <c r="F29" s="16" t="s">
        <v>59</v>
      </c>
      <c r="G29" s="17">
        <v>5</v>
      </c>
      <c r="H29" s="19" t="s">
        <v>64</v>
      </c>
      <c r="I29" s="19" t="s">
        <v>65</v>
      </c>
      <c r="J29" s="23">
        <v>7.663333333333334</v>
      </c>
      <c r="K29" s="44">
        <v>0.21548395145191993</v>
      </c>
      <c r="L29" s="23">
        <v>12.466666666666669</v>
      </c>
      <c r="M29" s="44">
        <v>0.20816659994661255</v>
      </c>
      <c r="N29" s="25">
        <v>338.03333333333336</v>
      </c>
      <c r="O29" s="44">
        <v>32.690110635073317</v>
      </c>
      <c r="P29" s="25">
        <v>0.05</v>
      </c>
      <c r="Q29" s="42"/>
      <c r="R29" s="23">
        <v>1.0272881715862876</v>
      </c>
      <c r="S29" s="19">
        <v>3.5</v>
      </c>
      <c r="T29" s="30">
        <v>44501</v>
      </c>
      <c r="U29" s="31">
        <v>0.83333333333333337</v>
      </c>
      <c r="V29" s="14">
        <f t="shared" si="4"/>
        <v>5</v>
      </c>
    </row>
    <row r="30" spans="1:22" x14ac:dyDescent="0.35">
      <c r="A30" t="str">
        <f t="shared" si="0"/>
        <v>ESTUDIO SEGUIMIENTO DESEMPEÑO AMBIENTAL ACUICULTURA EN CHILE Y SU EFECTO EN LOS ECOSISTEMAS DE EMPLAZAMIENTO 2021-2022</v>
      </c>
      <c r="B30" t="str">
        <f t="shared" si="1"/>
        <v>Objetivo 1. Actividad 2. Muestreos y Analisis sedimentos</v>
      </c>
      <c r="C30" t="str">
        <f t="shared" si="2"/>
        <v>Gastón Vidal</v>
      </c>
      <c r="D30" t="str">
        <f t="shared" si="3"/>
        <v>INSTITUTO DE FOMENTO PESQUERO</v>
      </c>
      <c r="E30" s="15" t="s">
        <v>37</v>
      </c>
      <c r="F30" s="16" t="s">
        <v>59</v>
      </c>
      <c r="G30" s="17">
        <v>7</v>
      </c>
      <c r="H30" s="19" t="s">
        <v>66</v>
      </c>
      <c r="I30" s="19" t="s">
        <v>67</v>
      </c>
      <c r="J30" s="23">
        <v>7.8933333333333335</v>
      </c>
      <c r="K30" s="44">
        <v>9.8657657246324887E-2</v>
      </c>
      <c r="L30" s="23">
        <v>12.333333333333334</v>
      </c>
      <c r="M30" s="44">
        <v>0.75718777944003579</v>
      </c>
      <c r="N30" s="25">
        <v>484</v>
      </c>
      <c r="O30" s="44">
        <v>32.186487848163885</v>
      </c>
      <c r="P30" s="25" t="s">
        <v>336</v>
      </c>
      <c r="Q30" s="42"/>
      <c r="R30" s="23">
        <v>0.83736336535274447</v>
      </c>
      <c r="S30" s="19">
        <v>8</v>
      </c>
      <c r="T30" s="30">
        <v>44504</v>
      </c>
      <c r="U30" s="31">
        <v>0.63888888888888895</v>
      </c>
      <c r="V30" s="14">
        <f t="shared" si="4"/>
        <v>7</v>
      </c>
    </row>
    <row r="31" spans="1:22" x14ac:dyDescent="0.35">
      <c r="A31" t="str">
        <f t="shared" si="0"/>
        <v>ESTUDIO SEGUIMIENTO DESEMPEÑO AMBIENTAL ACUICULTURA EN CHILE Y SU EFECTO EN LOS ECOSISTEMAS DE EMPLAZAMIENTO 2021-2022</v>
      </c>
      <c r="B31" t="str">
        <f t="shared" si="1"/>
        <v>Objetivo 1. Actividad 2. Muestreos y Analisis sedimentos</v>
      </c>
      <c r="C31" t="str">
        <f t="shared" si="2"/>
        <v>Gastón Vidal</v>
      </c>
      <c r="D31" t="str">
        <f t="shared" si="3"/>
        <v>INSTITUTO DE FOMENTO PESQUERO</v>
      </c>
      <c r="E31" s="15" t="s">
        <v>37</v>
      </c>
      <c r="F31" s="16" t="s">
        <v>59</v>
      </c>
      <c r="G31" s="17">
        <v>13</v>
      </c>
      <c r="H31" s="19" t="s">
        <v>68</v>
      </c>
      <c r="I31" s="19" t="s">
        <v>69</v>
      </c>
      <c r="J31" s="23">
        <v>7.293333333333333</v>
      </c>
      <c r="K31" s="44">
        <v>0.10066445913694343</v>
      </c>
      <c r="L31" s="23">
        <v>12.666666666666666</v>
      </c>
      <c r="M31" s="44">
        <v>0.28867513459481292</v>
      </c>
      <c r="N31" s="25">
        <v>322.16666666666669</v>
      </c>
      <c r="O31" s="44">
        <v>40.963683102637944</v>
      </c>
      <c r="P31" s="25">
        <v>296.96049711059914</v>
      </c>
      <c r="Q31" s="42">
        <v>91.035316966736929</v>
      </c>
      <c r="R31" s="23">
        <v>0.8600585055472495</v>
      </c>
      <c r="S31" s="19">
        <v>2</v>
      </c>
      <c r="T31" s="30">
        <v>44504</v>
      </c>
      <c r="U31" s="31">
        <v>0.70833333333333337</v>
      </c>
      <c r="V31" s="14">
        <f t="shared" si="4"/>
        <v>13</v>
      </c>
    </row>
    <row r="32" spans="1:22" x14ac:dyDescent="0.35">
      <c r="A32" t="str">
        <f t="shared" si="0"/>
        <v>ESTUDIO SEGUIMIENTO DESEMPEÑO AMBIENTAL ACUICULTURA EN CHILE Y SU EFECTO EN LOS ECOSISTEMAS DE EMPLAZAMIENTO 2021-2022</v>
      </c>
      <c r="B32" t="str">
        <f t="shared" si="1"/>
        <v>Objetivo 1. Actividad 2. Muestreos y Analisis sedimentos</v>
      </c>
      <c r="C32" t="str">
        <f t="shared" si="2"/>
        <v>Gastón Vidal</v>
      </c>
      <c r="D32" t="str">
        <f t="shared" si="3"/>
        <v>INSTITUTO DE FOMENTO PESQUERO</v>
      </c>
      <c r="E32" s="15" t="s">
        <v>37</v>
      </c>
      <c r="F32" s="16" t="s">
        <v>59</v>
      </c>
      <c r="G32" s="17">
        <v>15</v>
      </c>
      <c r="H32" s="19" t="s">
        <v>70</v>
      </c>
      <c r="I32" s="19" t="s">
        <v>71</v>
      </c>
      <c r="J32" s="23">
        <v>8.2133333333333329</v>
      </c>
      <c r="K32" s="44">
        <v>0.86309520525451489</v>
      </c>
      <c r="L32" s="23">
        <v>13.666666666666666</v>
      </c>
      <c r="M32" s="44">
        <v>2.1126602503321044</v>
      </c>
      <c r="N32" s="25">
        <v>451.23333333333335</v>
      </c>
      <c r="O32" s="44">
        <v>66.691553688104364</v>
      </c>
      <c r="P32" s="25">
        <v>164.00600906689613</v>
      </c>
      <c r="Q32" s="42">
        <v>85.70445794361035</v>
      </c>
      <c r="R32" s="23">
        <v>1.4557806623802085</v>
      </c>
      <c r="S32" s="19">
        <v>9</v>
      </c>
      <c r="T32" s="30">
        <v>44513</v>
      </c>
      <c r="U32" s="31">
        <v>0.5</v>
      </c>
      <c r="V32" s="14">
        <f t="shared" si="4"/>
        <v>15</v>
      </c>
    </row>
    <row r="33" spans="1:22" x14ac:dyDescent="0.35">
      <c r="A33" t="str">
        <f t="shared" si="0"/>
        <v>ESTUDIO SEGUIMIENTO DESEMPEÑO AMBIENTAL ACUICULTURA EN CHILE Y SU EFECTO EN LOS ECOSISTEMAS DE EMPLAZAMIENTO 2021-2022</v>
      </c>
      <c r="B33" t="str">
        <f t="shared" si="1"/>
        <v>Objetivo 1. Actividad 2. Muestreos y Analisis sedimentos</v>
      </c>
      <c r="C33" t="str">
        <f t="shared" si="2"/>
        <v>Gastón Vidal</v>
      </c>
      <c r="D33" t="str">
        <f t="shared" si="3"/>
        <v>INSTITUTO DE FOMENTO PESQUERO</v>
      </c>
      <c r="E33" s="15" t="s">
        <v>37</v>
      </c>
      <c r="F33" s="16" t="s">
        <v>59</v>
      </c>
      <c r="G33" s="17">
        <v>17</v>
      </c>
      <c r="H33" s="19" t="s">
        <v>72</v>
      </c>
      <c r="I33" s="19" t="s">
        <v>73</v>
      </c>
      <c r="J33" s="23">
        <v>7.3433333333333337</v>
      </c>
      <c r="K33" s="44">
        <v>0.12583057392117919</v>
      </c>
      <c r="L33" s="23">
        <v>12.533333333333333</v>
      </c>
      <c r="M33" s="44">
        <v>0.15275252316519414</v>
      </c>
      <c r="N33" s="25">
        <v>454.76666666666665</v>
      </c>
      <c r="O33" s="44">
        <v>40.010665244823578</v>
      </c>
      <c r="P33" s="25">
        <v>134.26957773775553</v>
      </c>
      <c r="Q33" s="42">
        <v>88.266449639536901</v>
      </c>
      <c r="R33" s="23">
        <v>0.94958519463944713</v>
      </c>
      <c r="S33" s="19">
        <v>11.5</v>
      </c>
      <c r="T33" s="30">
        <v>44513</v>
      </c>
      <c r="U33" s="31">
        <v>0.60416666666666663</v>
      </c>
      <c r="V33" s="14">
        <f t="shared" si="4"/>
        <v>17</v>
      </c>
    </row>
    <row r="34" spans="1:22" x14ac:dyDescent="0.35">
      <c r="A34" t="str">
        <f t="shared" si="0"/>
        <v>ESTUDIO SEGUIMIENTO DESEMPEÑO AMBIENTAL ACUICULTURA EN CHILE Y SU EFECTO EN LOS ECOSISTEMAS DE EMPLAZAMIENTO 2021-2022</v>
      </c>
      <c r="B34" t="str">
        <f t="shared" si="1"/>
        <v>Objetivo 1. Actividad 2. Muestreos y Analisis sedimentos</v>
      </c>
      <c r="C34" t="str">
        <f t="shared" si="2"/>
        <v>Gastón Vidal</v>
      </c>
      <c r="D34" t="str">
        <f t="shared" si="3"/>
        <v>INSTITUTO DE FOMENTO PESQUERO</v>
      </c>
      <c r="E34" s="15" t="s">
        <v>37</v>
      </c>
      <c r="F34" s="16" t="s">
        <v>59</v>
      </c>
      <c r="G34" s="17">
        <v>19</v>
      </c>
      <c r="H34" s="19" t="s">
        <v>74</v>
      </c>
      <c r="I34" s="19" t="s">
        <v>75</v>
      </c>
      <c r="J34" s="23">
        <v>7.2700000000000005</v>
      </c>
      <c r="K34" s="44">
        <v>0.19924858845171262</v>
      </c>
      <c r="L34" s="23">
        <v>12.533333333333331</v>
      </c>
      <c r="M34" s="44">
        <v>0.41633319989322676</v>
      </c>
      <c r="N34" s="25">
        <v>460.63333333333338</v>
      </c>
      <c r="O34" s="44">
        <v>125.27938111809652</v>
      </c>
      <c r="P34" s="25">
        <v>556.70975384109113</v>
      </c>
      <c r="Q34" s="42">
        <v>175.35285969252288</v>
      </c>
      <c r="R34" s="23">
        <v>1.5810276679841928</v>
      </c>
      <c r="S34" s="19">
        <v>7.5</v>
      </c>
      <c r="T34" s="30">
        <v>44513</v>
      </c>
      <c r="U34" s="31">
        <v>0.54861111111111105</v>
      </c>
      <c r="V34" s="14">
        <f t="shared" si="4"/>
        <v>19</v>
      </c>
    </row>
    <row r="35" spans="1:22" x14ac:dyDescent="0.35">
      <c r="A35" t="str">
        <f t="shared" si="0"/>
        <v>ESTUDIO SEGUIMIENTO DESEMPEÑO AMBIENTAL ACUICULTURA EN CHILE Y SU EFECTO EN LOS ECOSISTEMAS DE EMPLAZAMIENTO 2021-2022</v>
      </c>
      <c r="B35" t="str">
        <f t="shared" si="1"/>
        <v>Objetivo 1. Actividad 2. Muestreos y Analisis sedimentos</v>
      </c>
      <c r="C35" t="str">
        <f t="shared" si="2"/>
        <v>Gastón Vidal</v>
      </c>
      <c r="D35" t="str">
        <f t="shared" si="3"/>
        <v>INSTITUTO DE FOMENTO PESQUERO</v>
      </c>
      <c r="E35" s="15" t="s">
        <v>37</v>
      </c>
      <c r="F35" s="16" t="s">
        <v>59</v>
      </c>
      <c r="G35" s="17">
        <v>21</v>
      </c>
      <c r="H35" s="19" t="s">
        <v>76</v>
      </c>
      <c r="I35" s="19" t="s">
        <v>77</v>
      </c>
      <c r="J35" s="23">
        <v>7.2733333333333334</v>
      </c>
      <c r="K35" s="44">
        <v>2.5166114784235766E-2</v>
      </c>
      <c r="L35" s="23">
        <v>12.166666666666666</v>
      </c>
      <c r="M35" s="44">
        <v>0.15275252316519491</v>
      </c>
      <c r="N35" s="25">
        <v>472.16666666666669</v>
      </c>
      <c r="O35" s="44">
        <v>25.818275181222571</v>
      </c>
      <c r="P35" s="25">
        <v>90.374313326709526</v>
      </c>
      <c r="Q35" s="42">
        <v>45.546771098308781</v>
      </c>
      <c r="R35" s="23">
        <v>2.2469834141072611</v>
      </c>
      <c r="S35" s="19">
        <v>9</v>
      </c>
      <c r="T35" s="30">
        <v>44513</v>
      </c>
      <c r="U35" s="31">
        <v>0.57222222222222219</v>
      </c>
      <c r="V35" s="14">
        <f t="shared" si="4"/>
        <v>21</v>
      </c>
    </row>
    <row r="36" spans="1:22" x14ac:dyDescent="0.35">
      <c r="A36" t="str">
        <f t="shared" si="0"/>
        <v>ESTUDIO SEGUIMIENTO DESEMPEÑO AMBIENTAL ACUICULTURA EN CHILE Y SU EFECTO EN LOS ECOSISTEMAS DE EMPLAZAMIENTO 2021-2022</v>
      </c>
      <c r="B36" t="str">
        <f t="shared" si="1"/>
        <v>Objetivo 1. Actividad 2. Muestreos y Analisis sedimentos</v>
      </c>
      <c r="C36" t="str">
        <f t="shared" si="2"/>
        <v>Gastón Vidal</v>
      </c>
      <c r="D36" t="str">
        <f t="shared" si="3"/>
        <v>INSTITUTO DE FOMENTO PESQUERO</v>
      </c>
      <c r="E36" s="15" t="s">
        <v>37</v>
      </c>
      <c r="F36" s="20" t="s">
        <v>59</v>
      </c>
      <c r="G36" s="21">
        <v>25</v>
      </c>
      <c r="H36" s="22" t="s">
        <v>78</v>
      </c>
      <c r="I36" s="22" t="s">
        <v>79</v>
      </c>
      <c r="J36" s="24">
        <v>7.7409999999999997</v>
      </c>
      <c r="K36" s="45">
        <v>0.10850345616615151</v>
      </c>
      <c r="L36" s="24">
        <v>12.6</v>
      </c>
      <c r="M36" s="45">
        <v>0.45825756949558416</v>
      </c>
      <c r="N36" s="26">
        <v>549.69999999999993</v>
      </c>
      <c r="O36" s="45">
        <v>20.997380789041266</v>
      </c>
      <c r="P36" s="26" t="s">
        <v>336</v>
      </c>
      <c r="Q36" s="43"/>
      <c r="R36" s="24">
        <v>1.089040933734212</v>
      </c>
      <c r="S36" s="22">
        <v>8</v>
      </c>
      <c r="T36" s="32">
        <v>44516</v>
      </c>
      <c r="U36" s="33">
        <v>0.74652777777777779</v>
      </c>
      <c r="V36" s="14">
        <f t="shared" si="4"/>
        <v>25</v>
      </c>
    </row>
    <row r="37" spans="1:22" x14ac:dyDescent="0.35">
      <c r="A37" t="str">
        <f t="shared" si="0"/>
        <v>ESTUDIO SEGUIMIENTO DESEMPEÑO AMBIENTAL ACUICULTURA EN CHILE Y SU EFECTO EN LOS ECOSISTEMAS DE EMPLAZAMIENTO 2021-2022</v>
      </c>
      <c r="B37" t="str">
        <f t="shared" si="1"/>
        <v>Objetivo 1. Actividad 2. Muestreos y Analisis sedimentos</v>
      </c>
      <c r="C37" t="str">
        <f t="shared" si="2"/>
        <v>Gastón Vidal</v>
      </c>
      <c r="D37" t="str">
        <f t="shared" si="3"/>
        <v>INSTITUTO DE FOMENTO PESQUERO</v>
      </c>
      <c r="E37" s="15" t="s">
        <v>37</v>
      </c>
      <c r="F37" s="16" t="s">
        <v>80</v>
      </c>
      <c r="G37" s="17">
        <v>1</v>
      </c>
      <c r="H37" s="19" t="s">
        <v>81</v>
      </c>
      <c r="I37" s="19" t="s">
        <v>82</v>
      </c>
      <c r="J37" s="23">
        <v>7.7399999999999993</v>
      </c>
      <c r="K37" s="44">
        <v>7.0000000000000034E-2</v>
      </c>
      <c r="L37" s="23">
        <v>12.033333333333333</v>
      </c>
      <c r="M37" s="44">
        <v>0.51316014394468834</v>
      </c>
      <c r="N37" s="25">
        <v>487.36666666666662</v>
      </c>
      <c r="O37" s="44">
        <v>15.464906509039539</v>
      </c>
      <c r="P37" s="25">
        <v>1934.6762529999276</v>
      </c>
      <c r="Q37" s="42">
        <v>1512.0265769508655</v>
      </c>
      <c r="R37" s="23">
        <v>0.95894553794198811</v>
      </c>
      <c r="S37" s="34">
        <v>6</v>
      </c>
      <c r="T37" s="30">
        <v>44504</v>
      </c>
      <c r="U37" s="31">
        <v>0.5625</v>
      </c>
      <c r="V37" s="14">
        <f t="shared" si="4"/>
        <v>1</v>
      </c>
    </row>
    <row r="38" spans="1:22" x14ac:dyDescent="0.35">
      <c r="A38" t="str">
        <f t="shared" si="0"/>
        <v>ESTUDIO SEGUIMIENTO DESEMPEÑO AMBIENTAL ACUICULTURA EN CHILE Y SU EFECTO EN LOS ECOSISTEMAS DE EMPLAZAMIENTO 2021-2022</v>
      </c>
      <c r="B38" t="str">
        <f t="shared" si="1"/>
        <v>Objetivo 1. Actividad 2. Muestreos y Analisis sedimentos</v>
      </c>
      <c r="C38" t="str">
        <f t="shared" si="2"/>
        <v>Gastón Vidal</v>
      </c>
      <c r="D38" t="str">
        <f t="shared" si="3"/>
        <v>INSTITUTO DE FOMENTO PESQUERO</v>
      </c>
      <c r="E38" s="15" t="s">
        <v>37</v>
      </c>
      <c r="F38" s="16" t="s">
        <v>80</v>
      </c>
      <c r="G38" s="17">
        <v>2</v>
      </c>
      <c r="H38" s="19" t="s">
        <v>83</v>
      </c>
      <c r="I38" s="19" t="s">
        <v>84</v>
      </c>
      <c r="J38" s="23">
        <v>7.1000000000000005</v>
      </c>
      <c r="K38" s="44">
        <v>9.8488578017961168E-2</v>
      </c>
      <c r="L38" s="23">
        <v>12.666666666666666</v>
      </c>
      <c r="M38" s="44">
        <v>0.23094010767585052</v>
      </c>
      <c r="N38" s="25">
        <v>254.5</v>
      </c>
      <c r="O38" s="44">
        <v>69.140726059248095</v>
      </c>
      <c r="P38" s="25">
        <v>599.51542078878936</v>
      </c>
      <c r="Q38" s="44">
        <v>72.745198218349941</v>
      </c>
      <c r="R38" s="23">
        <v>2.797871113381373</v>
      </c>
      <c r="S38" s="34">
        <v>7.5</v>
      </c>
      <c r="T38" s="30">
        <v>44504</v>
      </c>
      <c r="U38" s="31">
        <v>0.4513888888888889</v>
      </c>
      <c r="V38" s="14">
        <f t="shared" si="4"/>
        <v>2</v>
      </c>
    </row>
    <row r="39" spans="1:22" x14ac:dyDescent="0.35">
      <c r="A39" t="str">
        <f t="shared" si="0"/>
        <v>ESTUDIO SEGUIMIENTO DESEMPEÑO AMBIENTAL ACUICULTURA EN CHILE Y SU EFECTO EN LOS ECOSISTEMAS DE EMPLAZAMIENTO 2021-2022</v>
      </c>
      <c r="B39" t="str">
        <f t="shared" si="1"/>
        <v>Objetivo 1. Actividad 2. Muestreos y Analisis sedimentos</v>
      </c>
      <c r="C39" t="str">
        <f t="shared" si="2"/>
        <v>Gastón Vidal</v>
      </c>
      <c r="D39" t="str">
        <f t="shared" si="3"/>
        <v>INSTITUTO DE FOMENTO PESQUERO</v>
      </c>
      <c r="E39" s="15" t="s">
        <v>37</v>
      </c>
      <c r="F39" s="16" t="s">
        <v>80</v>
      </c>
      <c r="G39" s="17">
        <v>8</v>
      </c>
      <c r="H39" s="19" t="s">
        <v>85</v>
      </c>
      <c r="I39" s="19" t="s">
        <v>86</v>
      </c>
      <c r="J39" s="23">
        <v>7.1966666666666663</v>
      </c>
      <c r="K39" s="44">
        <v>4.0414518843273455E-2</v>
      </c>
      <c r="L39" s="23">
        <v>12.566666666666668</v>
      </c>
      <c r="M39" s="44">
        <v>0.46188021535170004</v>
      </c>
      <c r="N39" s="25">
        <v>315.56666666666666</v>
      </c>
      <c r="O39" s="44">
        <v>115.25924402551537</v>
      </c>
      <c r="P39" s="25">
        <v>770.51195745875123</v>
      </c>
      <c r="Q39" s="44">
        <v>553.7188628843428</v>
      </c>
      <c r="R39" s="23">
        <v>1.672987779182463</v>
      </c>
      <c r="S39" s="34">
        <v>5</v>
      </c>
      <c r="T39" s="30">
        <v>44504</v>
      </c>
      <c r="U39" s="31">
        <v>0.49236111111111108</v>
      </c>
      <c r="V39" s="14">
        <f t="shared" si="4"/>
        <v>8</v>
      </c>
    </row>
    <row r="40" spans="1:22" x14ac:dyDescent="0.35">
      <c r="A40" t="str">
        <f t="shared" si="0"/>
        <v>ESTUDIO SEGUIMIENTO DESEMPEÑO AMBIENTAL ACUICULTURA EN CHILE Y SU EFECTO EN LOS ECOSISTEMAS DE EMPLAZAMIENTO 2021-2022</v>
      </c>
      <c r="B40" t="str">
        <f t="shared" si="1"/>
        <v>Objetivo 1. Actividad 2. Muestreos y Analisis sedimentos</v>
      </c>
      <c r="C40" t="str">
        <f t="shared" si="2"/>
        <v>Gastón Vidal</v>
      </c>
      <c r="D40" t="str">
        <f t="shared" si="3"/>
        <v>INSTITUTO DE FOMENTO PESQUERO</v>
      </c>
      <c r="E40" s="15" t="s">
        <v>37</v>
      </c>
      <c r="F40" s="16" t="s">
        <v>80</v>
      </c>
      <c r="G40" s="17">
        <v>16</v>
      </c>
      <c r="H40" s="19" t="s">
        <v>87</v>
      </c>
      <c r="I40" s="19" t="s">
        <v>88</v>
      </c>
      <c r="J40" s="23">
        <v>7.496666666666667</v>
      </c>
      <c r="K40" s="44">
        <v>7.3711147958319873E-2</v>
      </c>
      <c r="L40" s="23">
        <v>12.266666666666666</v>
      </c>
      <c r="M40" s="44">
        <v>0.20816659994661352</v>
      </c>
      <c r="N40" s="25">
        <v>405.23333333333335</v>
      </c>
      <c r="O40" s="44">
        <v>135.26453095077557</v>
      </c>
      <c r="P40" s="25">
        <v>346.80305985544487</v>
      </c>
      <c r="Q40" s="44">
        <v>139.02136541745136</v>
      </c>
      <c r="R40" s="23">
        <v>0.64294064164174991</v>
      </c>
      <c r="S40" s="34">
        <v>5.5</v>
      </c>
      <c r="T40" s="30">
        <v>44504</v>
      </c>
      <c r="U40" s="31">
        <v>0.41666666666666669</v>
      </c>
      <c r="V40" s="14">
        <f t="shared" si="4"/>
        <v>16</v>
      </c>
    </row>
    <row r="41" spans="1:22" x14ac:dyDescent="0.35">
      <c r="A41" t="str">
        <f t="shared" si="0"/>
        <v>ESTUDIO SEGUIMIENTO DESEMPEÑO AMBIENTAL ACUICULTURA EN CHILE Y SU EFECTO EN LOS ECOSISTEMAS DE EMPLAZAMIENTO 2021-2022</v>
      </c>
      <c r="B41" t="str">
        <f t="shared" si="1"/>
        <v>Objetivo 1. Actividad 2. Muestreos y Analisis sedimentos</v>
      </c>
      <c r="C41" t="str">
        <f t="shared" si="2"/>
        <v>Gastón Vidal</v>
      </c>
      <c r="D41" t="str">
        <f t="shared" si="3"/>
        <v>INSTITUTO DE FOMENTO PESQUERO</v>
      </c>
      <c r="E41" s="15" t="s">
        <v>37</v>
      </c>
      <c r="F41" s="16" t="s">
        <v>80</v>
      </c>
      <c r="G41" s="17">
        <v>22</v>
      </c>
      <c r="H41" s="19" t="s">
        <v>89</v>
      </c>
      <c r="I41" s="19" t="s">
        <v>84</v>
      </c>
      <c r="J41" s="23">
        <v>7.919999999999999</v>
      </c>
      <c r="K41" s="44">
        <v>9.5393920141694302E-2</v>
      </c>
      <c r="L41" s="23">
        <v>12.666666666666666</v>
      </c>
      <c r="M41" s="44">
        <v>0.11547005383792577</v>
      </c>
      <c r="N41" s="25">
        <v>497.2</v>
      </c>
      <c r="O41" s="44">
        <v>45.59254324996575</v>
      </c>
      <c r="P41" s="25" t="s">
        <v>336</v>
      </c>
      <c r="Q41" s="42"/>
      <c r="R41" s="23">
        <v>1.6682396047299244</v>
      </c>
      <c r="S41" s="34">
        <v>5.5</v>
      </c>
      <c r="T41" s="30">
        <v>44504</v>
      </c>
      <c r="U41" s="31">
        <v>0.4458333333333333</v>
      </c>
      <c r="V41" s="14">
        <f t="shared" si="4"/>
        <v>22</v>
      </c>
    </row>
    <row r="42" spans="1:22" x14ac:dyDescent="0.35">
      <c r="A42" t="str">
        <f t="shared" si="0"/>
        <v>ESTUDIO SEGUIMIENTO DESEMPEÑO AMBIENTAL ACUICULTURA EN CHILE Y SU EFECTO EN LOS ECOSISTEMAS DE EMPLAZAMIENTO 2021-2022</v>
      </c>
      <c r="B42" t="str">
        <f t="shared" si="1"/>
        <v>Objetivo 1. Actividad 2. Muestreos y Analisis sedimentos</v>
      </c>
      <c r="C42" t="str">
        <f t="shared" si="2"/>
        <v>Gastón Vidal</v>
      </c>
      <c r="D42" t="str">
        <f t="shared" si="3"/>
        <v>INSTITUTO DE FOMENTO PESQUERO</v>
      </c>
      <c r="E42" s="15" t="s">
        <v>37</v>
      </c>
      <c r="F42" s="16" t="s">
        <v>80</v>
      </c>
      <c r="G42" s="17">
        <v>26</v>
      </c>
      <c r="H42" s="19" t="s">
        <v>90</v>
      </c>
      <c r="I42" s="19" t="s">
        <v>91</v>
      </c>
      <c r="J42" s="23">
        <v>7.8266666666666653</v>
      </c>
      <c r="K42" s="44">
        <v>8.6216781042517079E-2</v>
      </c>
      <c r="L42" s="23">
        <v>12.633333333333335</v>
      </c>
      <c r="M42" s="44">
        <v>0.35118845842842428</v>
      </c>
      <c r="N42" s="25">
        <v>572.36666666666667</v>
      </c>
      <c r="O42" s="44">
        <v>27.349832418743116</v>
      </c>
      <c r="P42" s="25" t="s">
        <v>336</v>
      </c>
      <c r="Q42" s="42"/>
      <c r="R42" s="23">
        <v>0.75907799179036362</v>
      </c>
      <c r="S42" s="34">
        <v>3.5</v>
      </c>
      <c r="T42" s="30">
        <v>44502</v>
      </c>
      <c r="U42" s="31">
        <v>0.34375</v>
      </c>
      <c r="V42" s="14">
        <f t="shared" si="4"/>
        <v>26</v>
      </c>
    </row>
    <row r="43" spans="1:22" x14ac:dyDescent="0.35">
      <c r="A43" t="str">
        <f t="shared" si="0"/>
        <v>ESTUDIO SEGUIMIENTO DESEMPEÑO AMBIENTAL ACUICULTURA EN CHILE Y SU EFECTO EN LOS ECOSISTEMAS DE EMPLAZAMIENTO 2021-2022</v>
      </c>
      <c r="B43" t="str">
        <f t="shared" si="1"/>
        <v>Objetivo 1. Actividad 2. Muestreos y Analisis sedimentos</v>
      </c>
      <c r="C43" t="str">
        <f t="shared" si="2"/>
        <v>Gastón Vidal</v>
      </c>
      <c r="D43" t="str">
        <f t="shared" si="3"/>
        <v>INSTITUTO DE FOMENTO PESQUERO</v>
      </c>
      <c r="E43" s="15" t="s">
        <v>37</v>
      </c>
      <c r="F43" s="16" t="s">
        <v>80</v>
      </c>
      <c r="G43" s="17">
        <v>27</v>
      </c>
      <c r="H43" s="19" t="s">
        <v>92</v>
      </c>
      <c r="I43" s="19" t="s">
        <v>93</v>
      </c>
      <c r="J43" s="23">
        <v>7.94</v>
      </c>
      <c r="K43" s="44">
        <v>4.5825756949558781E-2</v>
      </c>
      <c r="L43" s="23">
        <v>12.433333333333332</v>
      </c>
      <c r="M43" s="44">
        <v>0.11547005383792475</v>
      </c>
      <c r="N43" s="25">
        <v>378.0333333333333</v>
      </c>
      <c r="O43" s="44">
        <v>68.41741980909093</v>
      </c>
      <c r="P43" s="25" t="s">
        <v>336</v>
      </c>
      <c r="Q43" s="42"/>
      <c r="R43" s="23">
        <v>0.77953332635763906</v>
      </c>
      <c r="S43" s="34">
        <v>3.5</v>
      </c>
      <c r="T43" s="30">
        <v>44502</v>
      </c>
      <c r="U43" s="31">
        <v>0.36805555555555558</v>
      </c>
      <c r="V43" s="14">
        <f t="shared" si="4"/>
        <v>27</v>
      </c>
    </row>
    <row r="44" spans="1:22" x14ac:dyDescent="0.35">
      <c r="A44" t="str">
        <f t="shared" si="0"/>
        <v>ESTUDIO SEGUIMIENTO DESEMPEÑO AMBIENTAL ACUICULTURA EN CHILE Y SU EFECTO EN LOS ECOSISTEMAS DE EMPLAZAMIENTO 2021-2022</v>
      </c>
      <c r="B44" t="str">
        <f t="shared" si="1"/>
        <v>Objetivo 1. Actividad 2. Muestreos y Analisis sedimentos</v>
      </c>
      <c r="C44" t="str">
        <f t="shared" si="2"/>
        <v>Gastón Vidal</v>
      </c>
      <c r="D44" t="str">
        <f t="shared" si="3"/>
        <v>INSTITUTO DE FOMENTO PESQUERO</v>
      </c>
      <c r="E44" s="15" t="s">
        <v>37</v>
      </c>
      <c r="F44" s="16" t="s">
        <v>80</v>
      </c>
      <c r="G44" s="17">
        <v>30</v>
      </c>
      <c r="H44" s="19" t="s">
        <v>94</v>
      </c>
      <c r="I44" s="19" t="s">
        <v>95</v>
      </c>
      <c r="J44" s="23">
        <v>7.55</v>
      </c>
      <c r="K44" s="44">
        <v>2.6457513110646182E-2</v>
      </c>
      <c r="L44" s="23">
        <v>12</v>
      </c>
      <c r="M44" s="44">
        <v>9.9999999999999645E-2</v>
      </c>
      <c r="N44" s="25">
        <v>376.56666666666661</v>
      </c>
      <c r="O44" s="44">
        <v>16.653027752734129</v>
      </c>
      <c r="P44" s="25">
        <v>340.61270626088361</v>
      </c>
      <c r="Q44" s="44">
        <v>255.00539316136047</v>
      </c>
      <c r="R44" s="23">
        <v>0.89240873092522521</v>
      </c>
      <c r="S44" s="34">
        <v>3</v>
      </c>
      <c r="T44" s="30">
        <v>44502</v>
      </c>
      <c r="U44" s="31">
        <v>0.38194444444444442</v>
      </c>
      <c r="V44" s="14">
        <f t="shared" si="4"/>
        <v>30</v>
      </c>
    </row>
    <row r="45" spans="1:22" x14ac:dyDescent="0.35">
      <c r="A45" t="str">
        <f t="shared" si="0"/>
        <v>ESTUDIO SEGUIMIENTO DESEMPEÑO AMBIENTAL ACUICULTURA EN CHILE Y SU EFECTO EN LOS ECOSISTEMAS DE EMPLAZAMIENTO 2021-2022</v>
      </c>
      <c r="B45" t="str">
        <f t="shared" si="1"/>
        <v>Objetivo 1. Actividad 2. Muestreos y Analisis sedimentos</v>
      </c>
      <c r="C45" t="str">
        <f t="shared" si="2"/>
        <v>Gastón Vidal</v>
      </c>
      <c r="D45" t="str">
        <f t="shared" si="3"/>
        <v>INSTITUTO DE FOMENTO PESQUERO</v>
      </c>
      <c r="E45" s="15" t="s">
        <v>37</v>
      </c>
      <c r="F45" s="16" t="s">
        <v>96</v>
      </c>
      <c r="G45" s="17">
        <v>2</v>
      </c>
      <c r="H45" s="19" t="s">
        <v>97</v>
      </c>
      <c r="I45" s="19" t="s">
        <v>98</v>
      </c>
      <c r="J45" s="23">
        <v>7.916666666666667</v>
      </c>
      <c r="K45" s="44">
        <v>7.5718777944003557E-2</v>
      </c>
      <c r="L45" s="23">
        <v>12.800000000000002</v>
      </c>
      <c r="M45" s="44">
        <v>0.10000000000000053</v>
      </c>
      <c r="N45" s="25">
        <v>336.03333333333336</v>
      </c>
      <c r="O45" s="44">
        <v>6.1329710037903338</v>
      </c>
      <c r="P45" s="25">
        <v>65.507112327175804</v>
      </c>
      <c r="Q45" s="42">
        <v>32.082748098994678</v>
      </c>
      <c r="R45" s="23">
        <v>0.89807767964943064</v>
      </c>
      <c r="S45" s="19">
        <v>4</v>
      </c>
      <c r="T45" s="30">
        <v>44502</v>
      </c>
      <c r="U45" s="31">
        <v>0.55208333333333337</v>
      </c>
      <c r="V45" s="14">
        <f t="shared" si="4"/>
        <v>2</v>
      </c>
    </row>
    <row r="46" spans="1:22" x14ac:dyDescent="0.35">
      <c r="A46" t="str">
        <f t="shared" si="0"/>
        <v>ESTUDIO SEGUIMIENTO DESEMPEÑO AMBIENTAL ACUICULTURA EN CHILE Y SU EFECTO EN LOS ECOSISTEMAS DE EMPLAZAMIENTO 2021-2022</v>
      </c>
      <c r="B46" t="str">
        <f t="shared" si="1"/>
        <v>Objetivo 1. Actividad 2. Muestreos y Analisis sedimentos</v>
      </c>
      <c r="C46" t="str">
        <f t="shared" si="2"/>
        <v>Gastón Vidal</v>
      </c>
      <c r="D46" t="str">
        <f t="shared" si="3"/>
        <v>INSTITUTO DE FOMENTO PESQUERO</v>
      </c>
      <c r="E46" s="15" t="s">
        <v>37</v>
      </c>
      <c r="F46" s="16" t="s">
        <v>96</v>
      </c>
      <c r="G46" s="17">
        <v>6</v>
      </c>
      <c r="H46" s="19" t="s">
        <v>99</v>
      </c>
      <c r="I46" s="19" t="s">
        <v>100</v>
      </c>
      <c r="J46" s="23">
        <v>7.5166666666666657</v>
      </c>
      <c r="K46" s="44">
        <v>0.11239810200058227</v>
      </c>
      <c r="L46" s="23">
        <v>12.366666666666667</v>
      </c>
      <c r="M46" s="44">
        <v>0.40414518843273839</v>
      </c>
      <c r="N46" s="25">
        <v>274.59999999999997</v>
      </c>
      <c r="O46" s="44">
        <v>16.891121928397752</v>
      </c>
      <c r="P46" s="25">
        <v>81.894398651037832</v>
      </c>
      <c r="Q46" s="42">
        <v>45.031013677897114</v>
      </c>
      <c r="R46" s="23">
        <v>0.94252062172371398</v>
      </c>
      <c r="S46" s="19">
        <v>5</v>
      </c>
      <c r="T46" s="30">
        <v>44502</v>
      </c>
      <c r="U46" s="31">
        <v>0.53125</v>
      </c>
      <c r="V46" s="14">
        <f t="shared" si="4"/>
        <v>6</v>
      </c>
    </row>
    <row r="47" spans="1:22" x14ac:dyDescent="0.35">
      <c r="A47" t="str">
        <f t="shared" si="0"/>
        <v>ESTUDIO SEGUIMIENTO DESEMPEÑO AMBIENTAL ACUICULTURA EN CHILE Y SU EFECTO EN LOS ECOSISTEMAS DE EMPLAZAMIENTO 2021-2022</v>
      </c>
      <c r="B47" t="str">
        <f t="shared" si="1"/>
        <v>Objetivo 1. Actividad 2. Muestreos y Analisis sedimentos</v>
      </c>
      <c r="C47" t="str">
        <f t="shared" si="2"/>
        <v>Gastón Vidal</v>
      </c>
      <c r="D47" t="str">
        <f t="shared" si="3"/>
        <v>INSTITUTO DE FOMENTO PESQUERO</v>
      </c>
      <c r="E47" s="15" t="s">
        <v>37</v>
      </c>
      <c r="F47" s="16" t="s">
        <v>96</v>
      </c>
      <c r="G47" s="17">
        <v>12</v>
      </c>
      <c r="H47" s="19" t="s">
        <v>101</v>
      </c>
      <c r="I47" s="19" t="s">
        <v>102</v>
      </c>
      <c r="J47" s="23">
        <v>7.41</v>
      </c>
      <c r="K47" s="44">
        <v>2.6457513110645845E-2</v>
      </c>
      <c r="L47" s="23">
        <v>12.5</v>
      </c>
      <c r="M47" s="44">
        <v>0</v>
      </c>
      <c r="N47" s="25">
        <v>281.76666666666665</v>
      </c>
      <c r="O47" s="44">
        <v>22.907276864204825</v>
      </c>
      <c r="P47" s="25">
        <v>137.87298688438727</v>
      </c>
      <c r="Q47" s="44">
        <v>152.08668114804127</v>
      </c>
      <c r="R47" s="23">
        <v>1.0279120789826135</v>
      </c>
      <c r="S47" s="19">
        <v>6</v>
      </c>
      <c r="T47" s="30">
        <v>44502</v>
      </c>
      <c r="U47" s="31">
        <v>0.49652777777777773</v>
      </c>
      <c r="V47" s="14">
        <f t="shared" si="4"/>
        <v>12</v>
      </c>
    </row>
    <row r="48" spans="1:22" x14ac:dyDescent="0.35">
      <c r="A48" t="str">
        <f t="shared" si="0"/>
        <v>ESTUDIO SEGUIMIENTO DESEMPEÑO AMBIENTAL ACUICULTURA EN CHILE Y SU EFECTO EN LOS ECOSISTEMAS DE EMPLAZAMIENTO 2021-2022</v>
      </c>
      <c r="B48" t="str">
        <f t="shared" si="1"/>
        <v>Objetivo 1. Actividad 2. Muestreos y Analisis sedimentos</v>
      </c>
      <c r="C48" t="str">
        <f t="shared" si="2"/>
        <v>Gastón Vidal</v>
      </c>
      <c r="D48" t="str">
        <f t="shared" si="3"/>
        <v>INSTITUTO DE FOMENTO PESQUERO</v>
      </c>
      <c r="E48" s="15" t="s">
        <v>37</v>
      </c>
      <c r="F48" s="16" t="s">
        <v>96</v>
      </c>
      <c r="G48" s="17">
        <v>14</v>
      </c>
      <c r="H48" s="19" t="s">
        <v>103</v>
      </c>
      <c r="I48" s="19" t="s">
        <v>104</v>
      </c>
      <c r="J48" s="23">
        <v>7.6333333333333337</v>
      </c>
      <c r="K48" s="44">
        <v>4.9328828623162749E-2</v>
      </c>
      <c r="L48" s="23">
        <v>13.233333333333334</v>
      </c>
      <c r="M48" s="44">
        <v>0.92376043070340208</v>
      </c>
      <c r="N48" s="25">
        <v>175.23333333333335</v>
      </c>
      <c r="O48" s="44">
        <v>84.89654488454363</v>
      </c>
      <c r="P48" s="25" t="s">
        <v>336</v>
      </c>
      <c r="Q48" s="42"/>
      <c r="R48" s="23">
        <v>3.0827244873910136</v>
      </c>
      <c r="S48" s="19">
        <v>5</v>
      </c>
      <c r="T48" s="30">
        <v>44502</v>
      </c>
      <c r="U48" s="31">
        <v>0.47569444444444442</v>
      </c>
      <c r="V48" s="14">
        <f t="shared" si="4"/>
        <v>14</v>
      </c>
    </row>
    <row r="49" spans="1:22" x14ac:dyDescent="0.35">
      <c r="A49" t="str">
        <f t="shared" si="0"/>
        <v>ESTUDIO SEGUIMIENTO DESEMPEÑO AMBIENTAL ACUICULTURA EN CHILE Y SU EFECTO EN LOS ECOSISTEMAS DE EMPLAZAMIENTO 2021-2022</v>
      </c>
      <c r="B49" t="str">
        <f t="shared" si="1"/>
        <v>Objetivo 1. Actividad 2. Muestreos y Analisis sedimentos</v>
      </c>
      <c r="C49" t="str">
        <f t="shared" si="2"/>
        <v>Gastón Vidal</v>
      </c>
      <c r="D49" t="str">
        <f t="shared" si="3"/>
        <v>INSTITUTO DE FOMENTO PESQUERO</v>
      </c>
      <c r="E49" s="15" t="s">
        <v>37</v>
      </c>
      <c r="F49" s="16" t="s">
        <v>105</v>
      </c>
      <c r="G49" s="17">
        <v>1</v>
      </c>
      <c r="H49" s="19" t="s">
        <v>106</v>
      </c>
      <c r="I49" s="19" t="s">
        <v>107</v>
      </c>
      <c r="J49" s="23">
        <v>7.0633333333333326</v>
      </c>
      <c r="K49" s="44">
        <v>4.725815626252608E-2</v>
      </c>
      <c r="L49" s="23">
        <v>11.833333333333334</v>
      </c>
      <c r="M49" s="44">
        <v>0.25166114784235827</v>
      </c>
      <c r="N49" s="25">
        <v>360.89999999999992</v>
      </c>
      <c r="O49" s="44">
        <v>26.073741580371596</v>
      </c>
      <c r="P49" s="25">
        <v>44.269752136009295</v>
      </c>
      <c r="Q49" s="42">
        <v>23.990099433482172</v>
      </c>
      <c r="R49" s="23">
        <v>0.8364673842562429</v>
      </c>
      <c r="S49" s="19">
        <v>9</v>
      </c>
      <c r="T49" s="30">
        <v>44491</v>
      </c>
      <c r="U49" s="31">
        <v>0.74305555555555547</v>
      </c>
      <c r="V49" s="14">
        <f t="shared" si="4"/>
        <v>1</v>
      </c>
    </row>
    <row r="50" spans="1:22" x14ac:dyDescent="0.35">
      <c r="A50" t="str">
        <f t="shared" si="0"/>
        <v>ESTUDIO SEGUIMIENTO DESEMPEÑO AMBIENTAL ACUICULTURA EN CHILE Y SU EFECTO EN LOS ECOSISTEMAS DE EMPLAZAMIENTO 2021-2022</v>
      </c>
      <c r="B50" t="str">
        <f t="shared" si="1"/>
        <v>Objetivo 1. Actividad 2. Muestreos y Analisis sedimentos</v>
      </c>
      <c r="C50" t="str">
        <f t="shared" si="2"/>
        <v>Gastón Vidal</v>
      </c>
      <c r="D50" t="str">
        <f t="shared" si="3"/>
        <v>INSTITUTO DE FOMENTO PESQUERO</v>
      </c>
      <c r="E50" s="15" t="s">
        <v>37</v>
      </c>
      <c r="F50" s="16" t="s">
        <v>105</v>
      </c>
      <c r="G50" s="17">
        <v>3</v>
      </c>
      <c r="H50" s="19" t="s">
        <v>108</v>
      </c>
      <c r="I50" s="19" t="s">
        <v>109</v>
      </c>
      <c r="J50" s="23">
        <v>7.59</v>
      </c>
      <c r="K50" s="46">
        <v>8.5440037453175258E-2</v>
      </c>
      <c r="L50" s="23">
        <v>11.5</v>
      </c>
      <c r="M50" s="46">
        <v>0.36055512754639935</v>
      </c>
      <c r="N50" s="25">
        <v>617.19999999999993</v>
      </c>
      <c r="O50" s="46">
        <v>18.032470712578469</v>
      </c>
      <c r="P50" s="25">
        <v>123.51828056851491</v>
      </c>
      <c r="Q50" s="42">
        <v>137.90563571910917</v>
      </c>
      <c r="R50" s="23">
        <v>1.2765382014874951</v>
      </c>
      <c r="S50" s="19">
        <v>6.5</v>
      </c>
      <c r="T50" s="30">
        <v>44494</v>
      </c>
      <c r="U50" s="31">
        <v>0.35069444444444442</v>
      </c>
      <c r="V50" s="14">
        <f t="shared" si="4"/>
        <v>3</v>
      </c>
    </row>
    <row r="51" spans="1:22" x14ac:dyDescent="0.35">
      <c r="A51" t="str">
        <f t="shared" si="0"/>
        <v>ESTUDIO SEGUIMIENTO DESEMPEÑO AMBIENTAL ACUICULTURA EN CHILE Y SU EFECTO EN LOS ECOSISTEMAS DE EMPLAZAMIENTO 2021-2022</v>
      </c>
      <c r="B51" t="str">
        <f t="shared" si="1"/>
        <v>Objetivo 1. Actividad 2. Muestreos y Analisis sedimentos</v>
      </c>
      <c r="C51" t="str">
        <f t="shared" si="2"/>
        <v>Gastón Vidal</v>
      </c>
      <c r="D51" t="str">
        <f t="shared" si="3"/>
        <v>INSTITUTO DE FOMENTO PESQUERO</v>
      </c>
      <c r="E51" s="15" t="s">
        <v>37</v>
      </c>
      <c r="F51" s="16" t="s">
        <v>105</v>
      </c>
      <c r="G51" s="17">
        <v>7</v>
      </c>
      <c r="H51" s="19" t="s">
        <v>110</v>
      </c>
      <c r="I51" s="19" t="s">
        <v>111</v>
      </c>
      <c r="J51" s="23" t="s">
        <v>336</v>
      </c>
      <c r="K51" s="42"/>
      <c r="L51" s="25" t="s">
        <v>336</v>
      </c>
      <c r="M51" s="42"/>
      <c r="N51" s="25" t="s">
        <v>336</v>
      </c>
      <c r="O51" s="42"/>
      <c r="P51" s="25" t="s">
        <v>336</v>
      </c>
      <c r="Q51" s="42"/>
      <c r="R51" s="23" t="s">
        <v>336</v>
      </c>
      <c r="S51" s="27" t="s">
        <v>336</v>
      </c>
      <c r="T51" s="30">
        <v>44494</v>
      </c>
      <c r="U51" s="31">
        <v>0.4375</v>
      </c>
      <c r="V51" s="14">
        <f t="shared" si="4"/>
        <v>7</v>
      </c>
    </row>
    <row r="52" spans="1:22" x14ac:dyDescent="0.35">
      <c r="A52" t="str">
        <f t="shared" si="0"/>
        <v>ESTUDIO SEGUIMIENTO DESEMPEÑO AMBIENTAL ACUICULTURA EN CHILE Y SU EFECTO EN LOS ECOSISTEMAS DE EMPLAZAMIENTO 2021-2022</v>
      </c>
      <c r="B52" t="str">
        <f t="shared" si="1"/>
        <v>Objetivo 1. Actividad 2. Muestreos y Analisis sedimentos</v>
      </c>
      <c r="C52" t="str">
        <f t="shared" si="2"/>
        <v>Gastón Vidal</v>
      </c>
      <c r="D52" t="str">
        <f t="shared" si="3"/>
        <v>INSTITUTO DE FOMENTO PESQUERO</v>
      </c>
      <c r="E52" s="15" t="s">
        <v>37</v>
      </c>
      <c r="F52" s="16" t="s">
        <v>105</v>
      </c>
      <c r="G52" s="17">
        <v>10</v>
      </c>
      <c r="H52" s="19" t="s">
        <v>112</v>
      </c>
      <c r="I52" s="19" t="s">
        <v>113</v>
      </c>
      <c r="J52" s="23">
        <v>7.8999999999999995</v>
      </c>
      <c r="K52" s="44">
        <v>9.6436507609929514E-2</v>
      </c>
      <c r="L52" s="23">
        <v>11.033333333333333</v>
      </c>
      <c r="M52" s="44">
        <v>5.7735026918962373E-2</v>
      </c>
      <c r="N52" s="25">
        <v>515.66666666666663</v>
      </c>
      <c r="O52" s="44">
        <v>28.351778309893273</v>
      </c>
      <c r="P52" s="25">
        <v>0.05</v>
      </c>
      <c r="Q52" s="42"/>
      <c r="R52" s="23">
        <v>0.91919651563417015</v>
      </c>
      <c r="S52" s="19">
        <v>7.5</v>
      </c>
      <c r="T52" s="30">
        <v>44494</v>
      </c>
      <c r="U52" s="31">
        <v>0.38194444444444442</v>
      </c>
      <c r="V52" s="14">
        <f t="shared" si="4"/>
        <v>10</v>
      </c>
    </row>
    <row r="53" spans="1:22" x14ac:dyDescent="0.35">
      <c r="A53" t="str">
        <f t="shared" si="0"/>
        <v>ESTUDIO SEGUIMIENTO DESEMPEÑO AMBIENTAL ACUICULTURA EN CHILE Y SU EFECTO EN LOS ECOSISTEMAS DE EMPLAZAMIENTO 2021-2022</v>
      </c>
      <c r="B53" t="str">
        <f t="shared" si="1"/>
        <v>Objetivo 1. Actividad 2. Muestreos y Analisis sedimentos</v>
      </c>
      <c r="C53" t="str">
        <f t="shared" si="2"/>
        <v>Gastón Vidal</v>
      </c>
      <c r="D53" t="str">
        <f t="shared" si="3"/>
        <v>INSTITUTO DE FOMENTO PESQUERO</v>
      </c>
      <c r="E53" s="15" t="s">
        <v>37</v>
      </c>
      <c r="F53" s="16" t="s">
        <v>105</v>
      </c>
      <c r="G53" s="17">
        <v>12</v>
      </c>
      <c r="H53" s="19" t="s">
        <v>114</v>
      </c>
      <c r="I53" s="19" t="s">
        <v>115</v>
      </c>
      <c r="J53" s="23">
        <v>7.48</v>
      </c>
      <c r="K53" s="44">
        <v>1.0000000000000231E-2</v>
      </c>
      <c r="L53" s="23">
        <v>12.200000000000001</v>
      </c>
      <c r="M53" s="44">
        <v>0.43588989435406683</v>
      </c>
      <c r="N53" s="25">
        <v>320.7</v>
      </c>
      <c r="O53" s="44">
        <v>15.614416415607733</v>
      </c>
      <c r="P53" s="25">
        <v>162.49345094839643</v>
      </c>
      <c r="Q53" s="42">
        <v>160.16407266228811</v>
      </c>
      <c r="R53" s="23">
        <v>1.0682082803064812</v>
      </c>
      <c r="S53" s="19">
        <v>4</v>
      </c>
      <c r="T53" s="30">
        <v>44502</v>
      </c>
      <c r="U53" s="31">
        <v>0.70138888888888884</v>
      </c>
      <c r="V53" s="14">
        <f t="shared" si="4"/>
        <v>12</v>
      </c>
    </row>
    <row r="54" spans="1:22" x14ac:dyDescent="0.35">
      <c r="A54" t="str">
        <f t="shared" si="0"/>
        <v>ESTUDIO SEGUIMIENTO DESEMPEÑO AMBIENTAL ACUICULTURA EN CHILE Y SU EFECTO EN LOS ECOSISTEMAS DE EMPLAZAMIENTO 2021-2022</v>
      </c>
      <c r="B54" t="str">
        <f t="shared" si="1"/>
        <v>Objetivo 1. Actividad 2. Muestreos y Analisis sedimentos</v>
      </c>
      <c r="C54" t="str">
        <f t="shared" si="2"/>
        <v>Gastón Vidal</v>
      </c>
      <c r="D54" t="str">
        <f t="shared" si="3"/>
        <v>INSTITUTO DE FOMENTO PESQUERO</v>
      </c>
      <c r="E54" s="15" t="s">
        <v>37</v>
      </c>
      <c r="F54" s="16" t="s">
        <v>105</v>
      </c>
      <c r="G54" s="17">
        <v>13</v>
      </c>
      <c r="H54" s="19" t="s">
        <v>116</v>
      </c>
      <c r="I54" s="19" t="s">
        <v>117</v>
      </c>
      <c r="J54" s="23">
        <v>7.623333333333334</v>
      </c>
      <c r="K54" s="44">
        <v>0.15176736583776276</v>
      </c>
      <c r="L54" s="23">
        <v>12.666666666666666</v>
      </c>
      <c r="M54" s="44">
        <v>0.50332229568471665</v>
      </c>
      <c r="N54" s="25">
        <v>308.26666666666665</v>
      </c>
      <c r="O54" s="44">
        <v>5.4280137558165205</v>
      </c>
      <c r="P54" s="25">
        <v>13.790827501131531</v>
      </c>
      <c r="Q54" s="42">
        <v>6.0989309363727591</v>
      </c>
      <c r="R54" s="23">
        <v>1.0482208907147643</v>
      </c>
      <c r="S54" s="19">
        <v>3</v>
      </c>
      <c r="T54" s="30">
        <v>44502</v>
      </c>
      <c r="U54" s="31">
        <v>0.64583333333333337</v>
      </c>
      <c r="V54" s="14">
        <f t="shared" si="4"/>
        <v>13</v>
      </c>
    </row>
    <row r="55" spans="1:22" x14ac:dyDescent="0.35">
      <c r="A55" t="str">
        <f t="shared" si="0"/>
        <v>ESTUDIO SEGUIMIENTO DESEMPEÑO AMBIENTAL ACUICULTURA EN CHILE Y SU EFECTO EN LOS ECOSISTEMAS DE EMPLAZAMIENTO 2021-2022</v>
      </c>
      <c r="B55" t="str">
        <f t="shared" si="1"/>
        <v>Objetivo 1. Actividad 2. Muestreos y Analisis sedimentos</v>
      </c>
      <c r="C55" t="str">
        <f t="shared" si="2"/>
        <v>Gastón Vidal</v>
      </c>
      <c r="D55" t="str">
        <f t="shared" si="3"/>
        <v>INSTITUTO DE FOMENTO PESQUERO</v>
      </c>
      <c r="E55" s="15" t="s">
        <v>37</v>
      </c>
      <c r="F55" s="16" t="s">
        <v>105</v>
      </c>
      <c r="G55" s="17">
        <v>14</v>
      </c>
      <c r="H55" s="19" t="s">
        <v>118</v>
      </c>
      <c r="I55" s="19" t="s">
        <v>119</v>
      </c>
      <c r="J55" s="23">
        <v>7.5133333333333328</v>
      </c>
      <c r="K55" s="44">
        <v>0.18770544300401457</v>
      </c>
      <c r="L55" s="23">
        <v>12.566666666666668</v>
      </c>
      <c r="M55" s="44">
        <v>0.55075705472860981</v>
      </c>
      <c r="N55" s="25">
        <v>361.93333333333334</v>
      </c>
      <c r="O55" s="44">
        <v>19.06209152567822</v>
      </c>
      <c r="P55" s="25">
        <v>93.246989890645068</v>
      </c>
      <c r="Q55" s="42">
        <v>57.528421564116407</v>
      </c>
      <c r="R55" s="23">
        <v>1.4088438177009013</v>
      </c>
      <c r="S55" s="19">
        <v>3.5</v>
      </c>
      <c r="T55" s="30">
        <v>44502</v>
      </c>
      <c r="U55" s="31">
        <v>0.625</v>
      </c>
      <c r="V55" s="14">
        <f t="shared" si="4"/>
        <v>14</v>
      </c>
    </row>
    <row r="56" spans="1:22" x14ac:dyDescent="0.35">
      <c r="A56" t="str">
        <f t="shared" si="0"/>
        <v>ESTUDIO SEGUIMIENTO DESEMPEÑO AMBIENTAL ACUICULTURA EN CHILE Y SU EFECTO EN LOS ECOSISTEMAS DE EMPLAZAMIENTO 2021-2022</v>
      </c>
      <c r="B56" t="str">
        <f t="shared" si="1"/>
        <v>Objetivo 1. Actividad 2. Muestreos y Analisis sedimentos</v>
      </c>
      <c r="C56" t="str">
        <f t="shared" si="2"/>
        <v>Gastón Vidal</v>
      </c>
      <c r="D56" t="str">
        <f t="shared" si="3"/>
        <v>INSTITUTO DE FOMENTO PESQUERO</v>
      </c>
      <c r="E56" s="15" t="s">
        <v>37</v>
      </c>
      <c r="F56" s="16" t="s">
        <v>120</v>
      </c>
      <c r="G56" s="17">
        <v>3</v>
      </c>
      <c r="H56" s="19" t="s">
        <v>121</v>
      </c>
      <c r="I56" s="19" t="s">
        <v>122</v>
      </c>
      <c r="J56" s="23">
        <v>7.0266666666666664</v>
      </c>
      <c r="K56" s="44">
        <v>9.2915732431775561E-2</v>
      </c>
      <c r="L56" s="23">
        <v>12.200000000000001</v>
      </c>
      <c r="M56" s="44">
        <v>0.20000000000000018</v>
      </c>
      <c r="N56" s="25">
        <v>466.13333333333338</v>
      </c>
      <c r="O56" s="44">
        <v>5.5193598662646801</v>
      </c>
      <c r="P56" s="25" t="s">
        <v>336</v>
      </c>
      <c r="Q56" s="42"/>
      <c r="R56" s="23">
        <v>0.66119296091672164</v>
      </c>
      <c r="S56" s="23">
        <v>9</v>
      </c>
      <c r="T56" s="30">
        <v>44494</v>
      </c>
      <c r="U56" s="31">
        <v>0.5625</v>
      </c>
      <c r="V56" s="14">
        <f t="shared" si="4"/>
        <v>3</v>
      </c>
    </row>
    <row r="57" spans="1:22" x14ac:dyDescent="0.35">
      <c r="A57" t="str">
        <f t="shared" si="0"/>
        <v>ESTUDIO SEGUIMIENTO DESEMPEÑO AMBIENTAL ACUICULTURA EN CHILE Y SU EFECTO EN LOS ECOSISTEMAS DE EMPLAZAMIENTO 2021-2022</v>
      </c>
      <c r="B57" t="str">
        <f t="shared" si="1"/>
        <v>Objetivo 1. Actividad 2. Muestreos y Analisis sedimentos</v>
      </c>
      <c r="C57" t="str">
        <f t="shared" si="2"/>
        <v>Gastón Vidal</v>
      </c>
      <c r="D57" t="str">
        <f t="shared" si="3"/>
        <v>INSTITUTO DE FOMENTO PESQUERO</v>
      </c>
      <c r="E57" s="15" t="s">
        <v>37</v>
      </c>
      <c r="F57" s="16" t="s">
        <v>120</v>
      </c>
      <c r="G57" s="17">
        <v>4</v>
      </c>
      <c r="H57" s="19" t="s">
        <v>123</v>
      </c>
      <c r="I57" s="19" t="s">
        <v>124</v>
      </c>
      <c r="J57" s="23">
        <v>8.293333333333333</v>
      </c>
      <c r="K57" s="44">
        <v>0.22368132093076856</v>
      </c>
      <c r="L57" s="23">
        <v>11.9</v>
      </c>
      <c r="M57" s="44">
        <v>0.6557438524301995</v>
      </c>
      <c r="N57" s="25">
        <v>446.13333333333338</v>
      </c>
      <c r="O57" s="44">
        <v>16.50252505931542</v>
      </c>
      <c r="P57" s="25">
        <v>0.05</v>
      </c>
      <c r="Q57" s="42"/>
      <c r="R57" s="23">
        <v>0.67970610071427495</v>
      </c>
      <c r="S57" s="23">
        <v>8.5</v>
      </c>
      <c r="T57" s="30">
        <v>44494</v>
      </c>
      <c r="U57" s="31">
        <v>0.55208333333333337</v>
      </c>
      <c r="V57" s="14">
        <f t="shared" si="4"/>
        <v>4</v>
      </c>
    </row>
    <row r="58" spans="1:22" x14ac:dyDescent="0.35">
      <c r="A58" t="str">
        <f t="shared" si="0"/>
        <v>ESTUDIO SEGUIMIENTO DESEMPEÑO AMBIENTAL ACUICULTURA EN CHILE Y SU EFECTO EN LOS ECOSISTEMAS DE EMPLAZAMIENTO 2021-2022</v>
      </c>
      <c r="B58" t="str">
        <f t="shared" si="1"/>
        <v>Objetivo 1. Actividad 2. Muestreos y Analisis sedimentos</v>
      </c>
      <c r="C58" t="str">
        <f t="shared" si="2"/>
        <v>Gastón Vidal</v>
      </c>
      <c r="D58" t="str">
        <f t="shared" si="3"/>
        <v>INSTITUTO DE FOMENTO PESQUERO</v>
      </c>
      <c r="E58" s="15" t="s">
        <v>37</v>
      </c>
      <c r="F58" s="16" t="s">
        <v>120</v>
      </c>
      <c r="G58" s="17">
        <v>7</v>
      </c>
      <c r="H58" s="19" t="s">
        <v>125</v>
      </c>
      <c r="I58" s="19" t="s">
        <v>126</v>
      </c>
      <c r="J58" s="23">
        <v>8.52</v>
      </c>
      <c r="K58" s="44">
        <v>9.8488578017960932E-2</v>
      </c>
      <c r="L58" s="23">
        <v>11.166666666666666</v>
      </c>
      <c r="M58" s="44">
        <v>5.7735026918962373E-2</v>
      </c>
      <c r="N58" s="25">
        <v>401.66666666666669</v>
      </c>
      <c r="O58" s="44">
        <v>10.581272765283643</v>
      </c>
      <c r="P58" s="25">
        <v>12.595708973236405</v>
      </c>
      <c r="Q58" s="42">
        <v>1.5392194970424142</v>
      </c>
      <c r="R58" s="23">
        <v>0.67541086405560447</v>
      </c>
      <c r="S58" s="23">
        <v>8.5</v>
      </c>
      <c r="T58" s="30">
        <v>44492</v>
      </c>
      <c r="U58" s="31">
        <v>0.66388888888888886</v>
      </c>
      <c r="V58" s="14">
        <f t="shared" si="4"/>
        <v>7</v>
      </c>
    </row>
    <row r="59" spans="1:22" x14ac:dyDescent="0.35">
      <c r="A59" t="str">
        <f t="shared" si="0"/>
        <v>ESTUDIO SEGUIMIENTO DESEMPEÑO AMBIENTAL ACUICULTURA EN CHILE Y SU EFECTO EN LOS ECOSISTEMAS DE EMPLAZAMIENTO 2021-2022</v>
      </c>
      <c r="B59" t="str">
        <f t="shared" si="1"/>
        <v>Objetivo 1. Actividad 2. Muestreos y Analisis sedimentos</v>
      </c>
      <c r="C59" t="str">
        <f t="shared" si="2"/>
        <v>Gastón Vidal</v>
      </c>
      <c r="D59" t="str">
        <f t="shared" si="3"/>
        <v>INSTITUTO DE FOMENTO PESQUERO</v>
      </c>
      <c r="E59" s="15" t="s">
        <v>37</v>
      </c>
      <c r="F59" s="16" t="s">
        <v>120</v>
      </c>
      <c r="G59" s="17">
        <v>10</v>
      </c>
      <c r="H59" s="19" t="s">
        <v>127</v>
      </c>
      <c r="I59" s="19" t="s">
        <v>128</v>
      </c>
      <c r="J59" s="23">
        <v>8.163333333333334</v>
      </c>
      <c r="K59" s="44">
        <v>6.6583281184794244E-2</v>
      </c>
      <c r="L59" s="23">
        <v>10.966666666666667</v>
      </c>
      <c r="M59" s="44">
        <v>5.7735026918962373E-2</v>
      </c>
      <c r="N59" s="25">
        <v>405.40000000000003</v>
      </c>
      <c r="O59" s="44">
        <v>18.199725272651776</v>
      </c>
      <c r="P59" s="25">
        <v>21.783176913515458</v>
      </c>
      <c r="Q59" s="42">
        <v>4.0768149502629303</v>
      </c>
      <c r="R59" s="23">
        <v>1.0255165896145837</v>
      </c>
      <c r="S59" s="23">
        <v>8.5</v>
      </c>
      <c r="T59" s="30">
        <v>44492</v>
      </c>
      <c r="U59" s="31">
        <v>0.70138888888888884</v>
      </c>
      <c r="V59" s="14">
        <f t="shared" si="4"/>
        <v>10</v>
      </c>
    </row>
    <row r="60" spans="1:22" x14ac:dyDescent="0.35">
      <c r="A60" t="str">
        <f t="shared" si="0"/>
        <v>ESTUDIO SEGUIMIENTO DESEMPEÑO AMBIENTAL ACUICULTURA EN CHILE Y SU EFECTO EN LOS ECOSISTEMAS DE EMPLAZAMIENTO 2021-2022</v>
      </c>
      <c r="B60" t="str">
        <f t="shared" si="1"/>
        <v>Objetivo 1. Actividad 2. Muestreos y Analisis sedimentos</v>
      </c>
      <c r="C60" t="str">
        <f t="shared" si="2"/>
        <v>Gastón Vidal</v>
      </c>
      <c r="D60" t="str">
        <f t="shared" si="3"/>
        <v>INSTITUTO DE FOMENTO PESQUERO</v>
      </c>
      <c r="E60" s="15" t="s">
        <v>37</v>
      </c>
      <c r="F60" s="16" t="s">
        <v>120</v>
      </c>
      <c r="G60" s="17">
        <v>13</v>
      </c>
      <c r="H60" s="19" t="s">
        <v>129</v>
      </c>
      <c r="I60" s="19" t="s">
        <v>130</v>
      </c>
      <c r="J60" s="23">
        <v>7.330000000000001</v>
      </c>
      <c r="K60" s="44">
        <v>0.40000000000000041</v>
      </c>
      <c r="L60" s="23">
        <v>11.233333333333334</v>
      </c>
      <c r="M60" s="44">
        <v>5.77350269189634E-2</v>
      </c>
      <c r="N60" s="25">
        <v>289.50000000000006</v>
      </c>
      <c r="O60" s="44">
        <v>6.9195375568024708</v>
      </c>
      <c r="P60" s="25">
        <v>801.46411601136651</v>
      </c>
      <c r="Q60" s="42">
        <v>356.7110010745767</v>
      </c>
      <c r="R60" s="23">
        <v>1.0466146042992102</v>
      </c>
      <c r="S60" s="23">
        <v>7.5</v>
      </c>
      <c r="T60" s="30">
        <v>44492</v>
      </c>
      <c r="U60" s="31">
        <v>0.64236111111111105</v>
      </c>
      <c r="V60" s="14">
        <f t="shared" si="4"/>
        <v>13</v>
      </c>
    </row>
    <row r="61" spans="1:22" x14ac:dyDescent="0.35">
      <c r="A61" t="str">
        <f t="shared" si="0"/>
        <v>ESTUDIO SEGUIMIENTO DESEMPEÑO AMBIENTAL ACUICULTURA EN CHILE Y SU EFECTO EN LOS ECOSISTEMAS DE EMPLAZAMIENTO 2021-2022</v>
      </c>
      <c r="B61" t="str">
        <f t="shared" si="1"/>
        <v>Objetivo 1. Actividad 2. Muestreos y Analisis sedimentos</v>
      </c>
      <c r="C61" t="str">
        <f t="shared" si="2"/>
        <v>Gastón Vidal</v>
      </c>
      <c r="D61" t="str">
        <f t="shared" si="3"/>
        <v>INSTITUTO DE FOMENTO PESQUERO</v>
      </c>
      <c r="E61" s="15" t="s">
        <v>37</v>
      </c>
      <c r="F61" s="16" t="s">
        <v>131</v>
      </c>
      <c r="G61" s="17">
        <v>2</v>
      </c>
      <c r="H61" s="19" t="s">
        <v>132</v>
      </c>
      <c r="I61" s="19" t="s">
        <v>133</v>
      </c>
      <c r="J61" s="23">
        <v>7.98</v>
      </c>
      <c r="K61" s="44">
        <v>0.26057628441590791</v>
      </c>
      <c r="L61" s="23">
        <v>11.4</v>
      </c>
      <c r="M61" s="44">
        <v>0</v>
      </c>
      <c r="N61" s="25">
        <v>407.76666666666665</v>
      </c>
      <c r="O61" s="44">
        <v>16.466430497631652</v>
      </c>
      <c r="P61" s="25">
        <v>0.05</v>
      </c>
      <c r="Q61" s="42"/>
      <c r="R61" s="23">
        <v>0.9277108433734722</v>
      </c>
      <c r="S61" s="23">
        <v>9</v>
      </c>
      <c r="T61" s="30">
        <v>44492</v>
      </c>
      <c r="U61" s="31">
        <v>0.45833333333333331</v>
      </c>
      <c r="V61" s="14">
        <f t="shared" si="4"/>
        <v>2</v>
      </c>
    </row>
    <row r="62" spans="1:22" x14ac:dyDescent="0.35">
      <c r="A62" t="str">
        <f t="shared" si="0"/>
        <v>ESTUDIO SEGUIMIENTO DESEMPEÑO AMBIENTAL ACUICULTURA EN CHILE Y SU EFECTO EN LOS ECOSISTEMAS DE EMPLAZAMIENTO 2021-2022</v>
      </c>
      <c r="B62" t="str">
        <f t="shared" si="1"/>
        <v>Objetivo 1. Actividad 2. Muestreos y Analisis sedimentos</v>
      </c>
      <c r="C62" t="str">
        <f t="shared" si="2"/>
        <v>Gastón Vidal</v>
      </c>
      <c r="D62" t="str">
        <f t="shared" si="3"/>
        <v>INSTITUTO DE FOMENTO PESQUERO</v>
      </c>
      <c r="E62" s="15" t="s">
        <v>37</v>
      </c>
      <c r="F62" s="16" t="s">
        <v>131</v>
      </c>
      <c r="G62" s="17">
        <v>3</v>
      </c>
      <c r="H62" s="19" t="s">
        <v>134</v>
      </c>
      <c r="I62" s="19" t="s">
        <v>135</v>
      </c>
      <c r="J62" s="23">
        <v>8.3666666666666654</v>
      </c>
      <c r="K62" s="44">
        <v>4.0414518843273899E-2</v>
      </c>
      <c r="L62" s="23">
        <v>11.033333333333333</v>
      </c>
      <c r="M62" s="44">
        <v>5.7735026918962373E-2</v>
      </c>
      <c r="N62" s="25">
        <v>445.93333333333334</v>
      </c>
      <c r="O62" s="44">
        <v>49.084247303318541</v>
      </c>
      <c r="P62" s="25">
        <v>0.05</v>
      </c>
      <c r="Q62" s="42"/>
      <c r="R62" s="23">
        <v>0.88294984317756731</v>
      </c>
      <c r="S62" s="23">
        <v>9</v>
      </c>
      <c r="T62" s="30">
        <v>44492</v>
      </c>
      <c r="U62" s="31">
        <v>0</v>
      </c>
      <c r="V62" s="14">
        <f t="shared" si="4"/>
        <v>3</v>
      </c>
    </row>
    <row r="63" spans="1:22" x14ac:dyDescent="0.35">
      <c r="A63" t="str">
        <f t="shared" si="0"/>
        <v>ESTUDIO SEGUIMIENTO DESEMPEÑO AMBIENTAL ACUICULTURA EN CHILE Y SU EFECTO EN LOS ECOSISTEMAS DE EMPLAZAMIENTO 2021-2022</v>
      </c>
      <c r="B63" t="str">
        <f t="shared" si="1"/>
        <v>Objetivo 1. Actividad 2. Muestreos y Analisis sedimentos</v>
      </c>
      <c r="C63" t="str">
        <f t="shared" si="2"/>
        <v>Gastón Vidal</v>
      </c>
      <c r="D63" t="str">
        <f t="shared" si="3"/>
        <v>INSTITUTO DE FOMENTO PESQUERO</v>
      </c>
      <c r="E63" s="15" t="s">
        <v>37</v>
      </c>
      <c r="F63" s="16" t="s">
        <v>131</v>
      </c>
      <c r="G63" s="17">
        <v>6</v>
      </c>
      <c r="H63" s="19" t="s">
        <v>136</v>
      </c>
      <c r="I63" s="19" t="s">
        <v>137</v>
      </c>
      <c r="J63" s="23">
        <v>8.4166666666666679</v>
      </c>
      <c r="K63" s="44">
        <v>0.10115993936995668</v>
      </c>
      <c r="L63" s="23">
        <v>11.299999999999999</v>
      </c>
      <c r="M63" s="44">
        <v>0.36055512754639862</v>
      </c>
      <c r="N63" s="25">
        <v>382.73333333333329</v>
      </c>
      <c r="O63" s="44">
        <v>18.762817840967649</v>
      </c>
      <c r="P63" s="25">
        <v>12.993238744081969</v>
      </c>
      <c r="Q63" s="42">
        <v>4.104417153050389</v>
      </c>
      <c r="R63" s="23">
        <v>0.97444192817861064</v>
      </c>
      <c r="S63" s="23">
        <v>9</v>
      </c>
      <c r="T63" s="30">
        <v>44492</v>
      </c>
      <c r="U63" s="31">
        <v>0.42708333333333331</v>
      </c>
      <c r="V63" s="14">
        <f t="shared" si="4"/>
        <v>6</v>
      </c>
    </row>
    <row r="64" spans="1:22" x14ac:dyDescent="0.35">
      <c r="A64" t="str">
        <f t="shared" si="0"/>
        <v>ESTUDIO SEGUIMIENTO DESEMPEÑO AMBIENTAL ACUICULTURA EN CHILE Y SU EFECTO EN LOS ECOSISTEMAS DE EMPLAZAMIENTO 2021-2022</v>
      </c>
      <c r="B64" t="str">
        <f t="shared" si="1"/>
        <v>Objetivo 1. Actividad 2. Muestreos y Analisis sedimentos</v>
      </c>
      <c r="C64" t="str">
        <f t="shared" si="2"/>
        <v>Gastón Vidal</v>
      </c>
      <c r="D64" t="str">
        <f t="shared" si="3"/>
        <v>INSTITUTO DE FOMENTO PESQUERO</v>
      </c>
      <c r="E64" s="15" t="s">
        <v>37</v>
      </c>
      <c r="F64" s="16" t="s">
        <v>131</v>
      </c>
      <c r="G64" s="17">
        <v>9</v>
      </c>
      <c r="H64" s="19" t="s">
        <v>138</v>
      </c>
      <c r="I64" s="19" t="s">
        <v>139</v>
      </c>
      <c r="J64" s="23">
        <v>7.8866666666666667</v>
      </c>
      <c r="K64" s="44">
        <v>0.20984120980716195</v>
      </c>
      <c r="L64" s="23">
        <v>11.766666666666666</v>
      </c>
      <c r="M64" s="44">
        <v>0.20816659994661352</v>
      </c>
      <c r="N64" s="25">
        <v>323.3</v>
      </c>
      <c r="O64" s="44">
        <v>45.665194623476296</v>
      </c>
      <c r="P64" s="25">
        <v>72.391283909060647</v>
      </c>
      <c r="Q64" s="42">
        <v>80.088591312617709</v>
      </c>
      <c r="R64" s="23">
        <v>0.97975179621161623</v>
      </c>
      <c r="S64" s="23">
        <v>5</v>
      </c>
      <c r="T64" s="30">
        <v>44492</v>
      </c>
      <c r="U64" s="31">
        <v>0.51736111111111105</v>
      </c>
      <c r="V64" s="14">
        <f t="shared" si="4"/>
        <v>9</v>
      </c>
    </row>
    <row r="65" spans="1:22" x14ac:dyDescent="0.35">
      <c r="A65" t="str">
        <f t="shared" si="0"/>
        <v>ESTUDIO SEGUIMIENTO DESEMPEÑO AMBIENTAL ACUICULTURA EN CHILE Y SU EFECTO EN LOS ECOSISTEMAS DE EMPLAZAMIENTO 2021-2022</v>
      </c>
      <c r="B65" t="str">
        <f t="shared" si="1"/>
        <v>Objetivo 1. Actividad 2. Muestreos y Analisis sedimentos</v>
      </c>
      <c r="C65" t="str">
        <f t="shared" si="2"/>
        <v>Gastón Vidal</v>
      </c>
      <c r="D65" t="str">
        <f t="shared" si="3"/>
        <v>INSTITUTO DE FOMENTO PESQUERO</v>
      </c>
      <c r="E65" s="15" t="s">
        <v>37</v>
      </c>
      <c r="F65" s="16" t="s">
        <v>131</v>
      </c>
      <c r="G65" s="17">
        <v>14</v>
      </c>
      <c r="H65" s="19" t="s">
        <v>140</v>
      </c>
      <c r="I65" s="19" t="s">
        <v>141</v>
      </c>
      <c r="J65" s="23">
        <v>7.1833333333333336</v>
      </c>
      <c r="K65" s="44">
        <v>3.7859388972002035E-2</v>
      </c>
      <c r="L65" s="23">
        <v>12.6</v>
      </c>
      <c r="M65" s="44">
        <v>0.26457513110645914</v>
      </c>
      <c r="N65" s="25">
        <v>322.40000000000003</v>
      </c>
      <c r="O65" s="44">
        <v>2.5238858928247829</v>
      </c>
      <c r="P65" s="25">
        <v>188.93758898507372</v>
      </c>
      <c r="Q65" s="42">
        <v>86.152107066458754</v>
      </c>
      <c r="R65" s="23">
        <v>0.85799053804826675</v>
      </c>
      <c r="S65" s="23">
        <v>6</v>
      </c>
      <c r="T65" s="30">
        <v>44492</v>
      </c>
      <c r="U65" s="31">
        <v>0.56944444444444442</v>
      </c>
      <c r="V65" s="14">
        <f t="shared" si="4"/>
        <v>14</v>
      </c>
    </row>
    <row r="66" spans="1:22" x14ac:dyDescent="0.35">
      <c r="A66" t="str">
        <f t="shared" si="0"/>
        <v>ESTUDIO SEGUIMIENTO DESEMPEÑO AMBIENTAL ACUICULTURA EN CHILE Y SU EFECTO EN LOS ECOSISTEMAS DE EMPLAZAMIENTO 2021-2022</v>
      </c>
      <c r="B66" t="str">
        <f t="shared" si="1"/>
        <v>Objetivo 1. Actividad 2. Muestreos y Analisis sedimentos</v>
      </c>
      <c r="C66" t="str">
        <f t="shared" si="2"/>
        <v>Gastón Vidal</v>
      </c>
      <c r="D66" t="str">
        <f t="shared" si="3"/>
        <v>INSTITUTO DE FOMENTO PESQUERO</v>
      </c>
      <c r="E66" s="15" t="s">
        <v>37</v>
      </c>
      <c r="F66" s="16" t="s">
        <v>142</v>
      </c>
      <c r="G66" s="17">
        <v>1</v>
      </c>
      <c r="H66" s="19" t="s">
        <v>143</v>
      </c>
      <c r="I66" s="19" t="s">
        <v>144</v>
      </c>
      <c r="J66" s="23">
        <v>7.19</v>
      </c>
      <c r="K66" s="44">
        <v>9.1651513899116688E-2</v>
      </c>
      <c r="L66" s="23">
        <v>11.300000000000002</v>
      </c>
      <c r="M66" s="44">
        <v>2.1755839288168292E-15</v>
      </c>
      <c r="N66" s="25">
        <v>362.63333333333338</v>
      </c>
      <c r="O66" s="44">
        <v>42.202527570435102</v>
      </c>
      <c r="P66" s="25">
        <v>140.75216408634697</v>
      </c>
      <c r="Q66" s="42">
        <v>69.721938725361127</v>
      </c>
      <c r="R66" s="23">
        <v>1.5150229163130071</v>
      </c>
      <c r="S66" s="35">
        <v>8</v>
      </c>
      <c r="T66" s="36">
        <v>44495</v>
      </c>
      <c r="U66" s="31">
        <v>0.4201388888888889</v>
      </c>
      <c r="V66" s="14">
        <f t="shared" si="4"/>
        <v>1</v>
      </c>
    </row>
    <row r="67" spans="1:22" x14ac:dyDescent="0.35">
      <c r="A67" t="str">
        <f t="shared" si="0"/>
        <v>ESTUDIO SEGUIMIENTO DESEMPEÑO AMBIENTAL ACUICULTURA EN CHILE Y SU EFECTO EN LOS ECOSISTEMAS DE EMPLAZAMIENTO 2021-2022</v>
      </c>
      <c r="B67" t="str">
        <f t="shared" si="1"/>
        <v>Objetivo 1. Actividad 2. Muestreos y Analisis sedimentos</v>
      </c>
      <c r="C67" t="str">
        <f t="shared" si="2"/>
        <v>Gastón Vidal</v>
      </c>
      <c r="D67" t="str">
        <f t="shared" si="3"/>
        <v>INSTITUTO DE FOMENTO PESQUERO</v>
      </c>
      <c r="E67" s="15" t="s">
        <v>37</v>
      </c>
      <c r="F67" s="16" t="s">
        <v>142</v>
      </c>
      <c r="G67" s="17">
        <v>4</v>
      </c>
      <c r="H67" s="19" t="s">
        <v>145</v>
      </c>
      <c r="I67" s="19" t="s">
        <v>146</v>
      </c>
      <c r="J67" s="23">
        <v>7.4366666666666665</v>
      </c>
      <c r="K67" s="44">
        <v>4.9328828623162443E-2</v>
      </c>
      <c r="L67" s="23">
        <v>11.766666666666666</v>
      </c>
      <c r="M67" s="44">
        <v>0.28867513459481292</v>
      </c>
      <c r="N67" s="25">
        <v>263.7</v>
      </c>
      <c r="O67" s="44">
        <v>17.675689519789607</v>
      </c>
      <c r="P67" s="25">
        <v>1248.7880892416197</v>
      </c>
      <c r="Q67" s="44">
        <v>265.76624076287834</v>
      </c>
      <c r="R67" s="23">
        <v>1.2891318033537407</v>
      </c>
      <c r="S67" s="35">
        <v>4</v>
      </c>
      <c r="T67" s="36">
        <v>44495</v>
      </c>
      <c r="U67" s="31">
        <v>0.34722222222222227</v>
      </c>
      <c r="V67" s="14">
        <f t="shared" si="4"/>
        <v>4</v>
      </c>
    </row>
    <row r="68" spans="1:22" x14ac:dyDescent="0.35">
      <c r="A68" t="str">
        <f t="shared" si="0"/>
        <v>ESTUDIO SEGUIMIENTO DESEMPEÑO AMBIENTAL ACUICULTURA EN CHILE Y SU EFECTO EN LOS ECOSISTEMAS DE EMPLAZAMIENTO 2021-2022</v>
      </c>
      <c r="B68" t="str">
        <f t="shared" si="1"/>
        <v>Objetivo 1. Actividad 2. Muestreos y Analisis sedimentos</v>
      </c>
      <c r="C68" t="str">
        <f t="shared" si="2"/>
        <v>Gastón Vidal</v>
      </c>
      <c r="D68" t="str">
        <f t="shared" si="3"/>
        <v>INSTITUTO DE FOMENTO PESQUERO</v>
      </c>
      <c r="E68" s="15" t="s">
        <v>37</v>
      </c>
      <c r="F68" s="16" t="s">
        <v>142</v>
      </c>
      <c r="G68" s="17">
        <v>6</v>
      </c>
      <c r="H68" s="19" t="s">
        <v>147</v>
      </c>
      <c r="I68" s="19" t="s">
        <v>148</v>
      </c>
      <c r="J68" s="23">
        <v>7.4833333333333334</v>
      </c>
      <c r="K68" s="44">
        <v>0.21126602503321096</v>
      </c>
      <c r="L68" s="23">
        <v>11.833333333333334</v>
      </c>
      <c r="M68" s="44">
        <v>0.11547005383792577</v>
      </c>
      <c r="N68" s="25">
        <v>215.73333333333335</v>
      </c>
      <c r="O68" s="44">
        <v>37.685585219461686</v>
      </c>
      <c r="P68" s="25">
        <v>849.35519296745031</v>
      </c>
      <c r="Q68" s="44">
        <v>85.823335718584659</v>
      </c>
      <c r="R68" s="23">
        <v>0.76100695175900956</v>
      </c>
      <c r="S68" s="35">
        <v>8</v>
      </c>
      <c r="T68" s="36">
        <v>44494</v>
      </c>
      <c r="U68" s="31">
        <v>0.7729166666666667</v>
      </c>
      <c r="V68" s="14">
        <f t="shared" si="4"/>
        <v>6</v>
      </c>
    </row>
    <row r="69" spans="1:22" x14ac:dyDescent="0.35">
      <c r="A69" t="str">
        <f t="shared" si="0"/>
        <v>ESTUDIO SEGUIMIENTO DESEMPEÑO AMBIENTAL ACUICULTURA EN CHILE Y SU EFECTO EN LOS ECOSISTEMAS DE EMPLAZAMIENTO 2021-2022</v>
      </c>
      <c r="B69" t="str">
        <f t="shared" si="1"/>
        <v>Objetivo 1. Actividad 2. Muestreos y Analisis sedimentos</v>
      </c>
      <c r="C69" t="str">
        <f t="shared" si="2"/>
        <v>Gastón Vidal</v>
      </c>
      <c r="D69" t="str">
        <f t="shared" si="3"/>
        <v>INSTITUTO DE FOMENTO PESQUERO</v>
      </c>
      <c r="E69" s="15" t="s">
        <v>37</v>
      </c>
      <c r="F69" s="16" t="s">
        <v>142</v>
      </c>
      <c r="G69" s="17">
        <v>7</v>
      </c>
      <c r="H69" s="19" t="s">
        <v>149</v>
      </c>
      <c r="I69" s="19" t="s">
        <v>150</v>
      </c>
      <c r="J69" s="23">
        <v>7.2066666666666661</v>
      </c>
      <c r="K69" s="44">
        <v>6.3508529610859024E-2</v>
      </c>
      <c r="L69" s="23">
        <v>11.666666666666666</v>
      </c>
      <c r="M69" s="44">
        <v>0.11547005383792577</v>
      </c>
      <c r="N69" s="25">
        <v>303.40000000000003</v>
      </c>
      <c r="O69" s="44">
        <v>16.757386431063782</v>
      </c>
      <c r="P69" s="25">
        <v>1609.9859921593727</v>
      </c>
      <c r="Q69" s="42">
        <v>2707.5090200941086</v>
      </c>
      <c r="R69" s="23">
        <v>1.0585034013605426</v>
      </c>
      <c r="S69" s="35">
        <v>9</v>
      </c>
      <c r="T69" s="36">
        <v>44494</v>
      </c>
      <c r="U69" s="31">
        <v>0.7416666666666667</v>
      </c>
      <c r="V69" s="14">
        <f t="shared" si="4"/>
        <v>7</v>
      </c>
    </row>
    <row r="70" spans="1:22" x14ac:dyDescent="0.35">
      <c r="A70" t="str">
        <f t="shared" si="0"/>
        <v>ESTUDIO SEGUIMIENTO DESEMPEÑO AMBIENTAL ACUICULTURA EN CHILE Y SU EFECTO EN LOS ECOSISTEMAS DE EMPLAZAMIENTO 2021-2022</v>
      </c>
      <c r="B70" t="str">
        <f t="shared" si="1"/>
        <v>Objetivo 1. Actividad 2. Muestreos y Analisis sedimentos</v>
      </c>
      <c r="C70" t="str">
        <f t="shared" si="2"/>
        <v>Gastón Vidal</v>
      </c>
      <c r="D70" t="str">
        <f t="shared" si="3"/>
        <v>INSTITUTO DE FOMENTO PESQUERO</v>
      </c>
      <c r="E70" s="15" t="s">
        <v>37</v>
      </c>
      <c r="F70" s="16" t="s">
        <v>142</v>
      </c>
      <c r="G70" s="17">
        <v>11</v>
      </c>
      <c r="H70" s="19" t="s">
        <v>151</v>
      </c>
      <c r="I70" s="19" t="s">
        <v>152</v>
      </c>
      <c r="J70" s="23">
        <v>7.583333333333333</v>
      </c>
      <c r="K70" s="44">
        <v>0.15821925715074406</v>
      </c>
      <c r="L70" s="23">
        <v>12.366666666666665</v>
      </c>
      <c r="M70" s="44">
        <v>0.20816659994661324</v>
      </c>
      <c r="N70" s="25">
        <v>246.56666666666669</v>
      </c>
      <c r="O70" s="44">
        <v>46.584260575148221</v>
      </c>
      <c r="P70" s="25">
        <v>35.511245472624331</v>
      </c>
      <c r="Q70" s="42">
        <v>21.362170099752362</v>
      </c>
      <c r="R70" s="23">
        <v>0.76869502411844692</v>
      </c>
      <c r="S70" s="35">
        <v>10</v>
      </c>
      <c r="T70" s="36">
        <v>44494</v>
      </c>
      <c r="U70" s="31">
        <v>0.69444444444444453</v>
      </c>
      <c r="V70" s="14">
        <f t="shared" si="4"/>
        <v>11</v>
      </c>
    </row>
    <row r="71" spans="1:22" x14ac:dyDescent="0.35">
      <c r="A71" t="str">
        <f t="shared" si="0"/>
        <v>ESTUDIO SEGUIMIENTO DESEMPEÑO AMBIENTAL ACUICULTURA EN CHILE Y SU EFECTO EN LOS ECOSISTEMAS DE EMPLAZAMIENTO 2021-2022</v>
      </c>
      <c r="B71" t="str">
        <f t="shared" si="1"/>
        <v>Objetivo 1. Actividad 2. Muestreos y Analisis sedimentos</v>
      </c>
      <c r="C71" t="str">
        <f t="shared" si="2"/>
        <v>Gastón Vidal</v>
      </c>
      <c r="D71" t="str">
        <f t="shared" si="3"/>
        <v>INSTITUTO DE FOMENTO PESQUERO</v>
      </c>
      <c r="E71" s="15" t="s">
        <v>37</v>
      </c>
      <c r="F71" s="16" t="s">
        <v>142</v>
      </c>
      <c r="G71" s="17">
        <v>12</v>
      </c>
      <c r="H71" s="19" t="s">
        <v>153</v>
      </c>
      <c r="I71" s="19" t="s">
        <v>154</v>
      </c>
      <c r="J71" s="23">
        <v>7.496666666666667</v>
      </c>
      <c r="K71" s="44">
        <v>9.4516312525052507E-2</v>
      </c>
      <c r="L71" s="23">
        <v>11.933333333333332</v>
      </c>
      <c r="M71" s="44">
        <v>0.15275252316519414</v>
      </c>
      <c r="N71" s="25">
        <v>302.5</v>
      </c>
      <c r="O71" s="44">
        <v>2.3643180835073734</v>
      </c>
      <c r="P71" s="25">
        <v>68.931190460496168</v>
      </c>
      <c r="Q71" s="44">
        <v>41.405160486212679</v>
      </c>
      <c r="R71" s="23">
        <v>0.80571541972613858</v>
      </c>
      <c r="S71" s="35">
        <v>9</v>
      </c>
      <c r="T71" s="36">
        <v>44494</v>
      </c>
      <c r="U71" s="31">
        <v>0.67013888888888884</v>
      </c>
      <c r="V71" s="14">
        <f t="shared" si="4"/>
        <v>12</v>
      </c>
    </row>
    <row r="72" spans="1:22" x14ac:dyDescent="0.35">
      <c r="A72" t="str">
        <f t="shared" si="0"/>
        <v>ESTUDIO SEGUIMIENTO DESEMPEÑO AMBIENTAL ACUICULTURA EN CHILE Y SU EFECTO EN LOS ECOSISTEMAS DE EMPLAZAMIENTO 2021-2022</v>
      </c>
      <c r="B72" t="str">
        <f t="shared" si="1"/>
        <v>Objetivo 1. Actividad 2. Muestreos y Analisis sedimentos</v>
      </c>
      <c r="C72" t="str">
        <f t="shared" si="2"/>
        <v>Gastón Vidal</v>
      </c>
      <c r="D72" t="str">
        <f t="shared" si="3"/>
        <v>INSTITUTO DE FOMENTO PESQUERO</v>
      </c>
      <c r="E72" s="15" t="s">
        <v>37</v>
      </c>
      <c r="F72" s="16" t="s">
        <v>142</v>
      </c>
      <c r="G72" s="17">
        <v>16</v>
      </c>
      <c r="H72" s="19" t="s">
        <v>155</v>
      </c>
      <c r="I72" s="19" t="s">
        <v>156</v>
      </c>
      <c r="J72" s="23">
        <v>7.19</v>
      </c>
      <c r="K72" s="44">
        <v>9.1651513899116688E-2</v>
      </c>
      <c r="L72" s="23">
        <v>11.799999999999999</v>
      </c>
      <c r="M72" s="44">
        <v>0.60827625302982191</v>
      </c>
      <c r="N72" s="25">
        <v>282.93333333333334</v>
      </c>
      <c r="O72" s="44">
        <v>84.601083523400206</v>
      </c>
      <c r="P72" s="25" t="s">
        <v>336</v>
      </c>
      <c r="Q72" s="44"/>
      <c r="R72" s="23">
        <v>0.72239683666225574</v>
      </c>
      <c r="S72" s="35">
        <v>10</v>
      </c>
      <c r="T72" s="36">
        <v>44495</v>
      </c>
      <c r="U72" s="31">
        <v>0.4861111111111111</v>
      </c>
      <c r="V72" s="14">
        <f t="shared" si="4"/>
        <v>16</v>
      </c>
    </row>
    <row r="73" spans="1:22" x14ac:dyDescent="0.35">
      <c r="A73" t="str">
        <f t="shared" si="0"/>
        <v>ESTUDIO SEGUIMIENTO DESEMPEÑO AMBIENTAL ACUICULTURA EN CHILE Y SU EFECTO EN LOS ECOSISTEMAS DE EMPLAZAMIENTO 2021-2022</v>
      </c>
      <c r="B73" t="str">
        <f t="shared" si="1"/>
        <v>Objetivo 1. Actividad 2. Muestreos y Analisis sedimentos</v>
      </c>
      <c r="C73" t="str">
        <f t="shared" si="2"/>
        <v>Gastón Vidal</v>
      </c>
      <c r="D73" t="str">
        <f t="shared" si="3"/>
        <v>INSTITUTO DE FOMENTO PESQUERO</v>
      </c>
      <c r="E73" s="15" t="s">
        <v>37</v>
      </c>
      <c r="F73" s="16" t="s">
        <v>142</v>
      </c>
      <c r="G73" s="17">
        <v>26</v>
      </c>
      <c r="H73" s="19" t="s">
        <v>157</v>
      </c>
      <c r="I73" s="19" t="s">
        <v>158</v>
      </c>
      <c r="J73" s="23">
        <v>7.5133333333333328</v>
      </c>
      <c r="K73" s="44">
        <v>0.17243356208503408</v>
      </c>
      <c r="L73" s="23">
        <v>12.566666666666668</v>
      </c>
      <c r="M73" s="44">
        <v>0.40414518843273867</v>
      </c>
      <c r="N73" s="25">
        <v>325.36666666666667</v>
      </c>
      <c r="O73" s="44">
        <v>25.061790305828762</v>
      </c>
      <c r="P73" s="25">
        <v>301.95718963045414</v>
      </c>
      <c r="Q73" s="44">
        <v>277.97485377502943</v>
      </c>
      <c r="R73" s="23">
        <v>0.83673145157017392</v>
      </c>
      <c r="S73" s="35">
        <v>3</v>
      </c>
      <c r="T73" s="36">
        <v>44494</v>
      </c>
      <c r="U73" s="31">
        <v>0.625</v>
      </c>
      <c r="V73" s="14">
        <f t="shared" si="4"/>
        <v>26</v>
      </c>
    </row>
    <row r="74" spans="1:22" x14ac:dyDescent="0.35">
      <c r="A74" t="str">
        <f t="shared" si="0"/>
        <v>ESTUDIO SEGUIMIENTO DESEMPEÑO AMBIENTAL ACUICULTURA EN CHILE Y SU EFECTO EN LOS ECOSISTEMAS DE EMPLAZAMIENTO 2021-2022</v>
      </c>
      <c r="B74" t="str">
        <f t="shared" si="1"/>
        <v>Objetivo 1. Actividad 2. Muestreos y Analisis sedimentos</v>
      </c>
      <c r="C74" t="str">
        <f t="shared" si="2"/>
        <v>Gastón Vidal</v>
      </c>
      <c r="D74" t="str">
        <f t="shared" si="3"/>
        <v>INSTITUTO DE FOMENTO PESQUERO</v>
      </c>
      <c r="E74" s="15" t="s">
        <v>37</v>
      </c>
      <c r="F74" s="16" t="s">
        <v>159</v>
      </c>
      <c r="G74" s="17">
        <v>1</v>
      </c>
      <c r="H74" s="19" t="s">
        <v>160</v>
      </c>
      <c r="I74" s="19" t="s">
        <v>161</v>
      </c>
      <c r="J74" s="23">
        <v>7.4600000000000009</v>
      </c>
      <c r="K74" s="44">
        <v>9.539392014169458E-2</v>
      </c>
      <c r="L74" s="23">
        <v>11.633333333333333</v>
      </c>
      <c r="M74" s="44">
        <v>0.65064070986477152</v>
      </c>
      <c r="N74" s="25">
        <v>617.16666666666663</v>
      </c>
      <c r="O74" s="44">
        <v>10.048051220676239</v>
      </c>
      <c r="P74" s="25">
        <v>588.06538573283228</v>
      </c>
      <c r="Q74" s="42">
        <v>320.38980189893948</v>
      </c>
      <c r="R74" s="23">
        <v>1.6628014490776548</v>
      </c>
      <c r="S74" s="19">
        <v>4</v>
      </c>
      <c r="T74" s="36">
        <v>44499</v>
      </c>
      <c r="U74" s="31">
        <v>0.33680555555555558</v>
      </c>
      <c r="V74" s="14">
        <f t="shared" si="4"/>
        <v>1</v>
      </c>
    </row>
    <row r="75" spans="1:22" x14ac:dyDescent="0.35">
      <c r="A75" t="str">
        <f t="shared" si="0"/>
        <v>ESTUDIO SEGUIMIENTO DESEMPEÑO AMBIENTAL ACUICULTURA EN CHILE Y SU EFECTO EN LOS ECOSISTEMAS DE EMPLAZAMIENTO 2021-2022</v>
      </c>
      <c r="B75" t="str">
        <f t="shared" si="1"/>
        <v>Objetivo 1. Actividad 2. Muestreos y Analisis sedimentos</v>
      </c>
      <c r="C75" t="str">
        <f t="shared" si="2"/>
        <v>Gastón Vidal</v>
      </c>
      <c r="D75" t="str">
        <f t="shared" si="3"/>
        <v>INSTITUTO DE FOMENTO PESQUERO</v>
      </c>
      <c r="E75" s="15" t="s">
        <v>37</v>
      </c>
      <c r="F75" s="16" t="s">
        <v>159</v>
      </c>
      <c r="G75" s="17">
        <v>2</v>
      </c>
      <c r="H75" s="19" t="s">
        <v>162</v>
      </c>
      <c r="I75" s="19" t="s">
        <v>163</v>
      </c>
      <c r="J75" s="23">
        <v>7.8466666666666667</v>
      </c>
      <c r="K75" s="44">
        <v>0.14189197769195183</v>
      </c>
      <c r="L75" s="23">
        <v>11.766666666666666</v>
      </c>
      <c r="M75" s="44">
        <v>0.35118845842842428</v>
      </c>
      <c r="N75" s="25">
        <v>458.3</v>
      </c>
      <c r="O75" s="44">
        <v>41.445988949474938</v>
      </c>
      <c r="P75" s="25" t="s">
        <v>336</v>
      </c>
      <c r="Q75" s="44"/>
      <c r="R75" s="23">
        <v>0.85522788203754041</v>
      </c>
      <c r="S75" s="19">
        <v>2</v>
      </c>
      <c r="T75" s="36">
        <v>44499</v>
      </c>
      <c r="U75" s="31">
        <v>0.375</v>
      </c>
      <c r="V75" s="14">
        <f t="shared" si="4"/>
        <v>2</v>
      </c>
    </row>
    <row r="76" spans="1:22" x14ac:dyDescent="0.35">
      <c r="A76" t="str">
        <f t="shared" si="0"/>
        <v>ESTUDIO SEGUIMIENTO DESEMPEÑO AMBIENTAL ACUICULTURA EN CHILE Y SU EFECTO EN LOS ECOSISTEMAS DE EMPLAZAMIENTO 2021-2022</v>
      </c>
      <c r="B76" t="str">
        <f t="shared" si="1"/>
        <v>Objetivo 1. Actividad 2. Muestreos y Analisis sedimentos</v>
      </c>
      <c r="C76" t="str">
        <f t="shared" si="2"/>
        <v>Gastón Vidal</v>
      </c>
      <c r="D76" t="str">
        <f t="shared" si="3"/>
        <v>INSTITUTO DE FOMENTO PESQUERO</v>
      </c>
      <c r="E76" s="15" t="s">
        <v>37</v>
      </c>
      <c r="F76" s="16" t="s">
        <v>159</v>
      </c>
      <c r="G76" s="17">
        <v>3</v>
      </c>
      <c r="H76" s="19" t="s">
        <v>164</v>
      </c>
      <c r="I76" s="19" t="s">
        <v>165</v>
      </c>
      <c r="J76" s="23">
        <v>7.7100000000000009</v>
      </c>
      <c r="K76" s="44">
        <v>0.12999999999999989</v>
      </c>
      <c r="L76" s="23">
        <v>12.4</v>
      </c>
      <c r="M76" s="44">
        <v>0.36055512754639862</v>
      </c>
      <c r="N76" s="25">
        <v>431.09999999999997</v>
      </c>
      <c r="O76" s="44">
        <v>23.384610323886072</v>
      </c>
      <c r="P76" s="25" t="s">
        <v>336</v>
      </c>
      <c r="Q76" s="44"/>
      <c r="R76" s="23">
        <v>0.88718984420083291</v>
      </c>
      <c r="S76" s="19">
        <v>2</v>
      </c>
      <c r="T76" s="36">
        <v>44499</v>
      </c>
      <c r="U76" s="31">
        <v>0.40972222222222227</v>
      </c>
      <c r="V76" s="14">
        <f t="shared" si="4"/>
        <v>3</v>
      </c>
    </row>
    <row r="77" spans="1:22" x14ac:dyDescent="0.35">
      <c r="A77" t="str">
        <f t="shared" si="0"/>
        <v>ESTUDIO SEGUIMIENTO DESEMPEÑO AMBIENTAL ACUICULTURA EN CHILE Y SU EFECTO EN LOS ECOSISTEMAS DE EMPLAZAMIENTO 2021-2022</v>
      </c>
      <c r="B77" t="str">
        <f t="shared" si="1"/>
        <v>Objetivo 1. Actividad 2. Muestreos y Analisis sedimentos</v>
      </c>
      <c r="C77" t="str">
        <f t="shared" si="2"/>
        <v>Gastón Vidal</v>
      </c>
      <c r="D77" t="str">
        <f t="shared" si="3"/>
        <v>INSTITUTO DE FOMENTO PESQUERO</v>
      </c>
      <c r="E77" s="15" t="s">
        <v>37</v>
      </c>
      <c r="F77" s="16" t="s">
        <v>159</v>
      </c>
      <c r="G77" s="17">
        <v>6</v>
      </c>
      <c r="H77" s="19" t="s">
        <v>166</v>
      </c>
      <c r="I77" s="19" t="s">
        <v>167</v>
      </c>
      <c r="J77" s="23">
        <v>7.5133333333333328</v>
      </c>
      <c r="K77" s="44">
        <v>0.1096965511460289</v>
      </c>
      <c r="L77" s="23">
        <v>11.799999999999999</v>
      </c>
      <c r="M77" s="44">
        <v>0.36055512754639862</v>
      </c>
      <c r="N77" s="25">
        <v>242.36666666666665</v>
      </c>
      <c r="O77" s="44">
        <v>87.935108650261697</v>
      </c>
      <c r="P77" s="25" t="s">
        <v>336</v>
      </c>
      <c r="Q77" s="44"/>
      <c r="R77" s="23">
        <v>0.93403067007142393</v>
      </c>
      <c r="S77" s="19">
        <v>3</v>
      </c>
      <c r="T77" s="36">
        <v>44499</v>
      </c>
      <c r="U77" s="31">
        <v>0.4548611111111111</v>
      </c>
      <c r="V77" s="14">
        <f t="shared" si="4"/>
        <v>6</v>
      </c>
    </row>
    <row r="78" spans="1:22" x14ac:dyDescent="0.35">
      <c r="A78" t="str">
        <f t="shared" si="0"/>
        <v>ESTUDIO SEGUIMIENTO DESEMPEÑO AMBIENTAL ACUICULTURA EN CHILE Y SU EFECTO EN LOS ECOSISTEMAS DE EMPLAZAMIENTO 2021-2022</v>
      </c>
      <c r="B78" t="str">
        <f t="shared" si="1"/>
        <v>Objetivo 1. Actividad 2. Muestreos y Analisis sedimentos</v>
      </c>
      <c r="C78" t="str">
        <f t="shared" si="2"/>
        <v>Gastón Vidal</v>
      </c>
      <c r="D78" t="str">
        <f t="shared" si="3"/>
        <v>INSTITUTO DE FOMENTO PESQUERO</v>
      </c>
      <c r="E78" s="15" t="s">
        <v>37</v>
      </c>
      <c r="F78" s="16" t="s">
        <v>168</v>
      </c>
      <c r="G78" s="17">
        <v>6</v>
      </c>
      <c r="H78" s="19" t="s">
        <v>169</v>
      </c>
      <c r="I78" s="19" t="s">
        <v>170</v>
      </c>
      <c r="J78" s="23">
        <v>7.456666666666667</v>
      </c>
      <c r="K78" s="44">
        <v>0.1457166199626293</v>
      </c>
      <c r="L78" s="23">
        <v>11.700000000000001</v>
      </c>
      <c r="M78" s="44">
        <v>0.17320508075688815</v>
      </c>
      <c r="N78" s="25">
        <v>331.33333333333331</v>
      </c>
      <c r="O78" s="44">
        <v>7.1570478085124885</v>
      </c>
      <c r="P78" s="25">
        <v>0.05</v>
      </c>
      <c r="Q78" s="42"/>
      <c r="R78" s="23">
        <v>0.6273237341986343</v>
      </c>
      <c r="S78" s="19">
        <v>8.5</v>
      </c>
      <c r="T78" s="36">
        <v>44496</v>
      </c>
      <c r="U78" s="31">
        <v>0.63194444444444442</v>
      </c>
      <c r="V78" s="14">
        <f t="shared" si="4"/>
        <v>6</v>
      </c>
    </row>
    <row r="79" spans="1:22" x14ac:dyDescent="0.35">
      <c r="A79" t="str">
        <f t="shared" si="0"/>
        <v>ESTUDIO SEGUIMIENTO DESEMPEÑO AMBIENTAL ACUICULTURA EN CHILE Y SU EFECTO EN LOS ECOSISTEMAS DE EMPLAZAMIENTO 2021-2022</v>
      </c>
      <c r="B79" t="str">
        <f t="shared" si="1"/>
        <v>Objetivo 1. Actividad 2. Muestreos y Analisis sedimentos</v>
      </c>
      <c r="C79" t="str">
        <f t="shared" si="2"/>
        <v>Gastón Vidal</v>
      </c>
      <c r="D79" t="str">
        <f t="shared" si="3"/>
        <v>INSTITUTO DE FOMENTO PESQUERO</v>
      </c>
      <c r="E79" s="15" t="s">
        <v>37</v>
      </c>
      <c r="F79" s="16" t="s">
        <v>168</v>
      </c>
      <c r="G79" s="17">
        <v>8</v>
      </c>
      <c r="H79" s="19" t="s">
        <v>171</v>
      </c>
      <c r="I79" s="19" t="s">
        <v>172</v>
      </c>
      <c r="J79" s="23">
        <v>7.31</v>
      </c>
      <c r="K79" s="44">
        <v>2.6457513110645845E-2</v>
      </c>
      <c r="L79" s="23">
        <v>11.966666666666669</v>
      </c>
      <c r="M79" s="44">
        <v>0.15275252316519414</v>
      </c>
      <c r="N79" s="25">
        <v>174.70000000000002</v>
      </c>
      <c r="O79" s="44">
        <v>109.84047523567986</v>
      </c>
      <c r="P79" s="25" t="s">
        <v>336</v>
      </c>
      <c r="Q79" s="44"/>
      <c r="R79" s="23">
        <v>7.1809653847126071</v>
      </c>
      <c r="S79" s="19">
        <v>11</v>
      </c>
      <c r="T79" s="36">
        <v>44496</v>
      </c>
      <c r="U79" s="31">
        <v>0.69097222222222221</v>
      </c>
      <c r="V79" s="14">
        <f t="shared" si="4"/>
        <v>8</v>
      </c>
    </row>
    <row r="80" spans="1:22" x14ac:dyDescent="0.35">
      <c r="A80" t="str">
        <f t="shared" si="0"/>
        <v>ESTUDIO SEGUIMIENTO DESEMPEÑO AMBIENTAL ACUICULTURA EN CHILE Y SU EFECTO EN LOS ECOSISTEMAS DE EMPLAZAMIENTO 2021-2022</v>
      </c>
      <c r="B80" t="str">
        <f t="shared" si="1"/>
        <v>Objetivo 1. Actividad 2. Muestreos y Analisis sedimentos</v>
      </c>
      <c r="C80" t="str">
        <f t="shared" si="2"/>
        <v>Gastón Vidal</v>
      </c>
      <c r="D80" t="str">
        <f t="shared" si="3"/>
        <v>INSTITUTO DE FOMENTO PESQUERO</v>
      </c>
      <c r="E80" s="15" t="s">
        <v>37</v>
      </c>
      <c r="F80" s="16" t="s">
        <v>168</v>
      </c>
      <c r="G80" s="17">
        <v>11</v>
      </c>
      <c r="H80" s="19" t="s">
        <v>173</v>
      </c>
      <c r="I80" s="19" t="s">
        <v>174</v>
      </c>
      <c r="J80" s="23">
        <v>7.0933333333333337</v>
      </c>
      <c r="K80" s="44">
        <v>0.12342339054382431</v>
      </c>
      <c r="L80" s="23">
        <v>11.6</v>
      </c>
      <c r="M80" s="44">
        <v>0.17320508075688712</v>
      </c>
      <c r="N80" s="25">
        <v>248</v>
      </c>
      <c r="O80" s="44">
        <v>51.919456853861682</v>
      </c>
      <c r="P80" s="25">
        <v>620.99097668054458</v>
      </c>
      <c r="Q80" s="44">
        <v>336.38463981188499</v>
      </c>
      <c r="R80" s="23">
        <v>1.1662617146823968</v>
      </c>
      <c r="S80" s="19">
        <v>11.6</v>
      </c>
      <c r="T80" s="36">
        <v>44496</v>
      </c>
      <c r="U80" s="31">
        <v>0.70833333333333337</v>
      </c>
      <c r="V80" s="14">
        <f t="shared" si="4"/>
        <v>11</v>
      </c>
    </row>
    <row r="81" spans="1:22" x14ac:dyDescent="0.35">
      <c r="A81" t="str">
        <f t="shared" si="0"/>
        <v>ESTUDIO SEGUIMIENTO DESEMPEÑO AMBIENTAL ACUICULTURA EN CHILE Y SU EFECTO EN LOS ECOSISTEMAS DE EMPLAZAMIENTO 2021-2022</v>
      </c>
      <c r="B81" t="str">
        <f t="shared" si="1"/>
        <v>Objetivo 1. Actividad 2. Muestreos y Analisis sedimentos</v>
      </c>
      <c r="C81" t="str">
        <f t="shared" si="2"/>
        <v>Gastón Vidal</v>
      </c>
      <c r="D81" t="str">
        <f t="shared" si="3"/>
        <v>INSTITUTO DE FOMENTO PESQUERO</v>
      </c>
      <c r="E81" s="15" t="s">
        <v>37</v>
      </c>
      <c r="F81" s="16" t="s">
        <v>168</v>
      </c>
      <c r="G81" s="17">
        <v>12</v>
      </c>
      <c r="H81" s="19" t="s">
        <v>175</v>
      </c>
      <c r="I81" s="19" t="s">
        <v>176</v>
      </c>
      <c r="J81" s="23">
        <v>7.5766666666666671</v>
      </c>
      <c r="K81" s="44">
        <v>0.16289055630494195</v>
      </c>
      <c r="L81" s="23">
        <v>11.700000000000001</v>
      </c>
      <c r="M81" s="44">
        <v>0.17320508075688812</v>
      </c>
      <c r="N81" s="25">
        <v>317.8</v>
      </c>
      <c r="O81" s="44">
        <v>12.202049008260856</v>
      </c>
      <c r="P81" s="25">
        <v>94.878776430602215</v>
      </c>
      <c r="Q81" s="44">
        <v>92.293916971915962</v>
      </c>
      <c r="R81" s="23">
        <v>0.86253227941850397</v>
      </c>
      <c r="S81" s="19">
        <v>12</v>
      </c>
      <c r="T81" s="36">
        <v>44496</v>
      </c>
      <c r="U81" s="31">
        <v>0.58958333333333335</v>
      </c>
      <c r="V81" s="14">
        <f t="shared" si="4"/>
        <v>12</v>
      </c>
    </row>
    <row r="82" spans="1:22" x14ac:dyDescent="0.35">
      <c r="A82" t="str">
        <f t="shared" ref="A82:A145" si="5">$B$1</f>
        <v>ESTUDIO SEGUIMIENTO DESEMPEÑO AMBIENTAL ACUICULTURA EN CHILE Y SU EFECTO EN LOS ECOSISTEMAS DE EMPLAZAMIENTO 2021-2022</v>
      </c>
      <c r="B82" t="str">
        <f t="shared" ref="B82:B145" si="6">$B$2</f>
        <v>Objetivo 1. Actividad 2. Muestreos y Analisis sedimentos</v>
      </c>
      <c r="C82" t="str">
        <f t="shared" ref="C82:C145" si="7">$B$3</f>
        <v>Gastón Vidal</v>
      </c>
      <c r="D82" t="str">
        <f t="shared" ref="D82:D145" si="8">$B$4</f>
        <v>INSTITUTO DE FOMENTO PESQUERO</v>
      </c>
      <c r="E82" s="15" t="s">
        <v>37</v>
      </c>
      <c r="F82" s="16" t="s">
        <v>168</v>
      </c>
      <c r="G82" s="17">
        <v>13</v>
      </c>
      <c r="H82" s="19" t="s">
        <v>177</v>
      </c>
      <c r="I82" s="19" t="s">
        <v>178</v>
      </c>
      <c r="J82" s="23">
        <v>7.3066666666666675</v>
      </c>
      <c r="K82" s="44">
        <v>5.1316014394468729E-2</v>
      </c>
      <c r="L82" s="23">
        <v>11.933333333333332</v>
      </c>
      <c r="M82" s="44">
        <v>0.11547005383792475</v>
      </c>
      <c r="N82" s="25">
        <v>402.16666666666669</v>
      </c>
      <c r="O82" s="44">
        <v>14.742229591663987</v>
      </c>
      <c r="P82" s="25">
        <v>689.70680921795247</v>
      </c>
      <c r="Q82" s="44">
        <v>408.8213317232096</v>
      </c>
      <c r="R82" s="23">
        <v>1.0263275323516148</v>
      </c>
      <c r="S82" s="19">
        <v>10</v>
      </c>
      <c r="T82" s="36">
        <v>44496</v>
      </c>
      <c r="U82" s="31">
        <v>0.55208333333333337</v>
      </c>
      <c r="V82" s="14">
        <f t="shared" ref="V82:V145" si="9">G82</f>
        <v>13</v>
      </c>
    </row>
    <row r="83" spans="1:22" x14ac:dyDescent="0.35">
      <c r="A83" t="str">
        <f t="shared" si="5"/>
        <v>ESTUDIO SEGUIMIENTO DESEMPEÑO AMBIENTAL ACUICULTURA EN CHILE Y SU EFECTO EN LOS ECOSISTEMAS DE EMPLAZAMIENTO 2021-2022</v>
      </c>
      <c r="B83" t="str">
        <f t="shared" si="6"/>
        <v>Objetivo 1. Actividad 2. Muestreos y Analisis sedimentos</v>
      </c>
      <c r="C83" t="str">
        <f t="shared" si="7"/>
        <v>Gastón Vidal</v>
      </c>
      <c r="D83" t="str">
        <f t="shared" si="8"/>
        <v>INSTITUTO DE FOMENTO PESQUERO</v>
      </c>
      <c r="E83" s="15" t="s">
        <v>37</v>
      </c>
      <c r="F83" s="16" t="s">
        <v>168</v>
      </c>
      <c r="G83" s="17">
        <v>19</v>
      </c>
      <c r="H83" s="19" t="s">
        <v>179</v>
      </c>
      <c r="I83" s="19" t="s">
        <v>180</v>
      </c>
      <c r="J83" s="23">
        <v>7.4333333333333336</v>
      </c>
      <c r="K83" s="44">
        <v>0.11846237095944577</v>
      </c>
      <c r="L83" s="23">
        <v>11.133333333333333</v>
      </c>
      <c r="M83" s="44">
        <v>5.7735026918962373E-2</v>
      </c>
      <c r="N83" s="25">
        <v>355.66666666666669</v>
      </c>
      <c r="O83" s="44">
        <v>8.3002008007838892</v>
      </c>
      <c r="P83" s="25" t="s">
        <v>336</v>
      </c>
      <c r="Q83" s="44"/>
      <c r="R83" s="23">
        <v>0.84217016029593939</v>
      </c>
      <c r="S83" s="19">
        <v>10</v>
      </c>
      <c r="T83" s="36">
        <v>44496</v>
      </c>
      <c r="U83" s="31">
        <v>0.44791666666666669</v>
      </c>
      <c r="V83" s="14">
        <f t="shared" si="9"/>
        <v>19</v>
      </c>
    </row>
    <row r="84" spans="1:22" x14ac:dyDescent="0.35">
      <c r="A84" t="str">
        <f t="shared" si="5"/>
        <v>ESTUDIO SEGUIMIENTO DESEMPEÑO AMBIENTAL ACUICULTURA EN CHILE Y SU EFECTO EN LOS ECOSISTEMAS DE EMPLAZAMIENTO 2021-2022</v>
      </c>
      <c r="B84" t="str">
        <f t="shared" si="6"/>
        <v>Objetivo 1. Actividad 2. Muestreos y Analisis sedimentos</v>
      </c>
      <c r="C84" t="str">
        <f t="shared" si="7"/>
        <v>Gastón Vidal</v>
      </c>
      <c r="D84" t="str">
        <f t="shared" si="8"/>
        <v>INSTITUTO DE FOMENTO PESQUERO</v>
      </c>
      <c r="E84" s="15" t="s">
        <v>37</v>
      </c>
      <c r="F84" s="16" t="s">
        <v>168</v>
      </c>
      <c r="G84" s="17">
        <v>21</v>
      </c>
      <c r="H84" s="19" t="s">
        <v>181</v>
      </c>
      <c r="I84" s="19" t="s">
        <v>182</v>
      </c>
      <c r="J84" s="23">
        <v>7.5900000000000007</v>
      </c>
      <c r="K84" s="44">
        <v>0.11135528725660029</v>
      </c>
      <c r="L84" s="23">
        <v>10.833333333333334</v>
      </c>
      <c r="M84" s="44">
        <v>0.15275252316519491</v>
      </c>
      <c r="N84" s="25">
        <v>304.83333333333331</v>
      </c>
      <c r="O84" s="44">
        <v>6.3445514682547186</v>
      </c>
      <c r="P84" s="25">
        <v>0.05</v>
      </c>
      <c r="Q84" s="42"/>
      <c r="R84" s="23">
        <v>1.1108948153915965</v>
      </c>
      <c r="S84" s="19">
        <v>8</v>
      </c>
      <c r="T84" s="36">
        <v>44496</v>
      </c>
      <c r="U84" s="31">
        <v>0.43055555555555558</v>
      </c>
      <c r="V84" s="14">
        <f t="shared" si="9"/>
        <v>21</v>
      </c>
    </row>
    <row r="85" spans="1:22" x14ac:dyDescent="0.35">
      <c r="A85" t="str">
        <f t="shared" si="5"/>
        <v>ESTUDIO SEGUIMIENTO DESEMPEÑO AMBIENTAL ACUICULTURA EN CHILE Y SU EFECTO EN LOS ECOSISTEMAS DE EMPLAZAMIENTO 2021-2022</v>
      </c>
      <c r="B85" t="str">
        <f t="shared" si="6"/>
        <v>Objetivo 1. Actividad 2. Muestreos y Analisis sedimentos</v>
      </c>
      <c r="C85" t="str">
        <f t="shared" si="7"/>
        <v>Gastón Vidal</v>
      </c>
      <c r="D85" t="str">
        <f t="shared" si="8"/>
        <v>INSTITUTO DE FOMENTO PESQUERO</v>
      </c>
      <c r="E85" s="15" t="s">
        <v>37</v>
      </c>
      <c r="F85" s="16" t="s">
        <v>168</v>
      </c>
      <c r="G85" s="17">
        <v>22</v>
      </c>
      <c r="H85" s="19" t="s">
        <v>183</v>
      </c>
      <c r="I85" s="19" t="s">
        <v>184</v>
      </c>
      <c r="J85" s="23">
        <v>7.4466666666666663</v>
      </c>
      <c r="K85" s="44">
        <v>8.0829037686547242E-2</v>
      </c>
      <c r="L85" s="23">
        <v>11</v>
      </c>
      <c r="M85" s="44">
        <v>0</v>
      </c>
      <c r="N85" s="25">
        <v>255.79999999999998</v>
      </c>
      <c r="O85" s="44">
        <v>29.3545567161216</v>
      </c>
      <c r="P85" s="25" t="s">
        <v>336</v>
      </c>
      <c r="Q85" s="44"/>
      <c r="R85" s="23">
        <v>0.78617566072209399</v>
      </c>
      <c r="S85" s="19">
        <v>8</v>
      </c>
      <c r="T85" s="36">
        <v>44496</v>
      </c>
      <c r="U85" s="31">
        <v>0.375</v>
      </c>
      <c r="V85" s="14">
        <f t="shared" si="9"/>
        <v>22</v>
      </c>
    </row>
    <row r="86" spans="1:22" x14ac:dyDescent="0.35">
      <c r="A86" t="str">
        <f t="shared" si="5"/>
        <v>ESTUDIO SEGUIMIENTO DESEMPEÑO AMBIENTAL ACUICULTURA EN CHILE Y SU EFECTO EN LOS ECOSISTEMAS DE EMPLAZAMIENTO 2021-2022</v>
      </c>
      <c r="B86" t="str">
        <f t="shared" si="6"/>
        <v>Objetivo 1. Actividad 2. Muestreos y Analisis sedimentos</v>
      </c>
      <c r="C86" t="str">
        <f t="shared" si="7"/>
        <v>Gastón Vidal</v>
      </c>
      <c r="D86" t="str">
        <f t="shared" si="8"/>
        <v>INSTITUTO DE FOMENTO PESQUERO</v>
      </c>
      <c r="E86" s="15" t="s">
        <v>37</v>
      </c>
      <c r="F86" s="16" t="s">
        <v>168</v>
      </c>
      <c r="G86" s="17">
        <v>26</v>
      </c>
      <c r="H86" s="19" t="s">
        <v>185</v>
      </c>
      <c r="I86" s="19" t="s">
        <v>186</v>
      </c>
      <c r="J86" s="23">
        <v>7.3900000000000006</v>
      </c>
      <c r="K86" s="44">
        <v>4.3588989435406823E-2</v>
      </c>
      <c r="L86" s="23">
        <v>12.066666666666668</v>
      </c>
      <c r="M86" s="44">
        <v>0.40414518843273867</v>
      </c>
      <c r="N86" s="25">
        <v>306.66666666666669</v>
      </c>
      <c r="O86" s="44">
        <v>166.75755854933035</v>
      </c>
      <c r="P86" s="25">
        <v>979.70613002889729</v>
      </c>
      <c r="Q86" s="44">
        <v>390.58261917642005</v>
      </c>
      <c r="R86" s="23">
        <v>4.1017888636936135</v>
      </c>
      <c r="S86" s="19">
        <v>7.5</v>
      </c>
      <c r="T86" s="36">
        <v>44496</v>
      </c>
      <c r="U86" s="31">
        <v>0.33333333333333331</v>
      </c>
      <c r="V86" s="14">
        <f t="shared" si="9"/>
        <v>26</v>
      </c>
    </row>
    <row r="87" spans="1:22" x14ac:dyDescent="0.35">
      <c r="A87" t="str">
        <f t="shared" si="5"/>
        <v>ESTUDIO SEGUIMIENTO DESEMPEÑO AMBIENTAL ACUICULTURA EN CHILE Y SU EFECTO EN LOS ECOSISTEMAS DE EMPLAZAMIENTO 2021-2022</v>
      </c>
      <c r="B87" t="str">
        <f t="shared" si="6"/>
        <v>Objetivo 1. Actividad 2. Muestreos y Analisis sedimentos</v>
      </c>
      <c r="C87" t="str">
        <f t="shared" si="7"/>
        <v>Gastón Vidal</v>
      </c>
      <c r="D87" t="str">
        <f t="shared" si="8"/>
        <v>INSTITUTO DE FOMENTO PESQUERO</v>
      </c>
      <c r="E87" s="15" t="s">
        <v>37</v>
      </c>
      <c r="F87" s="16" t="s">
        <v>168</v>
      </c>
      <c r="G87" s="17">
        <v>28</v>
      </c>
      <c r="H87" s="19" t="s">
        <v>187</v>
      </c>
      <c r="I87" s="19" t="s">
        <v>188</v>
      </c>
      <c r="J87" s="23">
        <v>7.3266666666666671</v>
      </c>
      <c r="K87" s="44">
        <v>0.12220201853215584</v>
      </c>
      <c r="L87" s="23">
        <v>11.633333333333333</v>
      </c>
      <c r="M87" s="44">
        <v>0.65064070986477152</v>
      </c>
      <c r="N87" s="25">
        <v>279.59999999999997</v>
      </c>
      <c r="O87" s="44">
        <v>29.526767516949764</v>
      </c>
      <c r="P87" s="25">
        <v>129.40175630128022</v>
      </c>
      <c r="Q87" s="42">
        <v>142.59324237132515</v>
      </c>
      <c r="R87" s="23">
        <v>1.5052638462041688</v>
      </c>
      <c r="S87" s="19">
        <v>6.5</v>
      </c>
      <c r="T87" s="36">
        <v>44495</v>
      </c>
      <c r="U87" s="31">
        <v>0.63888888888888895</v>
      </c>
      <c r="V87" s="14">
        <f t="shared" si="9"/>
        <v>28</v>
      </c>
    </row>
    <row r="88" spans="1:22" x14ac:dyDescent="0.35">
      <c r="A88" t="str">
        <f t="shared" si="5"/>
        <v>ESTUDIO SEGUIMIENTO DESEMPEÑO AMBIENTAL ACUICULTURA EN CHILE Y SU EFECTO EN LOS ECOSISTEMAS DE EMPLAZAMIENTO 2021-2022</v>
      </c>
      <c r="B88" t="str">
        <f t="shared" si="6"/>
        <v>Objetivo 1. Actividad 2. Muestreos y Analisis sedimentos</v>
      </c>
      <c r="C88" t="str">
        <f t="shared" si="7"/>
        <v>Gastón Vidal</v>
      </c>
      <c r="D88" t="str">
        <f t="shared" si="8"/>
        <v>INSTITUTO DE FOMENTO PESQUERO</v>
      </c>
      <c r="E88" s="15" t="s">
        <v>37</v>
      </c>
      <c r="F88" s="16" t="s">
        <v>168</v>
      </c>
      <c r="G88" s="17">
        <v>32</v>
      </c>
      <c r="H88" s="19" t="s">
        <v>189</v>
      </c>
      <c r="I88" s="19" t="s">
        <v>190</v>
      </c>
      <c r="J88" s="23">
        <v>7.13</v>
      </c>
      <c r="K88" s="44">
        <v>0.14730919862656242</v>
      </c>
      <c r="L88" s="23">
        <v>11.433333333333332</v>
      </c>
      <c r="M88" s="44">
        <v>0.20816659994661352</v>
      </c>
      <c r="N88" s="25">
        <v>271.33333333333331</v>
      </c>
      <c r="O88" s="44">
        <v>49.988932108351008</v>
      </c>
      <c r="P88" s="25">
        <v>270.0613678287724</v>
      </c>
      <c r="Q88" s="44">
        <v>139.50046852037747</v>
      </c>
      <c r="R88" s="23">
        <v>2.9647355524668049</v>
      </c>
      <c r="S88" s="19">
        <v>6</v>
      </c>
      <c r="T88" s="36">
        <v>44495</v>
      </c>
      <c r="U88" s="31">
        <v>0.68263888888888891</v>
      </c>
      <c r="V88" s="14">
        <f t="shared" si="9"/>
        <v>32</v>
      </c>
    </row>
    <row r="89" spans="1:22" x14ac:dyDescent="0.35">
      <c r="A89" t="str">
        <f t="shared" si="5"/>
        <v>ESTUDIO SEGUIMIENTO DESEMPEÑO AMBIENTAL ACUICULTURA EN CHILE Y SU EFECTO EN LOS ECOSISTEMAS DE EMPLAZAMIENTO 2021-2022</v>
      </c>
      <c r="B89" t="str">
        <f t="shared" si="6"/>
        <v>Objetivo 1. Actividad 2. Muestreos y Analisis sedimentos</v>
      </c>
      <c r="C89" t="str">
        <f t="shared" si="7"/>
        <v>Gastón Vidal</v>
      </c>
      <c r="D89" t="str">
        <f t="shared" si="8"/>
        <v>INSTITUTO DE FOMENTO PESQUERO</v>
      </c>
      <c r="E89" s="15" t="s">
        <v>37</v>
      </c>
      <c r="F89" s="16" t="s">
        <v>168</v>
      </c>
      <c r="G89" s="21">
        <v>39</v>
      </c>
      <c r="H89" s="22" t="s">
        <v>191</v>
      </c>
      <c r="I89" s="22" t="s">
        <v>192</v>
      </c>
      <c r="J89" s="24">
        <v>7.496666666666667</v>
      </c>
      <c r="K89" s="45">
        <v>0.16289055630494195</v>
      </c>
      <c r="L89" s="24">
        <v>11.799999999999999</v>
      </c>
      <c r="M89" s="45">
        <v>0.60827625302982191</v>
      </c>
      <c r="N89" s="26">
        <v>282.93333333333334</v>
      </c>
      <c r="O89" s="45">
        <v>84.601083523400206</v>
      </c>
      <c r="P89" s="26" t="s">
        <v>336</v>
      </c>
      <c r="Q89" s="45"/>
      <c r="R89" s="24">
        <v>0.6774885145482703</v>
      </c>
      <c r="S89" s="22">
        <v>9</v>
      </c>
      <c r="T89" s="37">
        <v>44495</v>
      </c>
      <c r="U89" s="33">
        <v>0.58333333333333337</v>
      </c>
      <c r="V89" s="14">
        <f t="shared" si="9"/>
        <v>39</v>
      </c>
    </row>
    <row r="90" spans="1:22" x14ac:dyDescent="0.35">
      <c r="A90" t="str">
        <f t="shared" si="5"/>
        <v>ESTUDIO SEGUIMIENTO DESEMPEÑO AMBIENTAL ACUICULTURA EN CHILE Y SU EFECTO EN LOS ECOSISTEMAS DE EMPLAZAMIENTO 2021-2022</v>
      </c>
      <c r="B90" t="str">
        <f t="shared" si="6"/>
        <v>Objetivo 1. Actividad 2. Muestreos y Analisis sedimentos</v>
      </c>
      <c r="C90" t="str">
        <f t="shared" si="7"/>
        <v>Gastón Vidal</v>
      </c>
      <c r="D90" t="str">
        <f t="shared" si="8"/>
        <v>INSTITUTO DE FOMENTO PESQUERO</v>
      </c>
      <c r="E90" s="15" t="s">
        <v>37</v>
      </c>
      <c r="F90" s="16" t="s">
        <v>193</v>
      </c>
      <c r="G90" s="17">
        <v>3</v>
      </c>
      <c r="H90" s="19" t="s">
        <v>194</v>
      </c>
      <c r="I90" s="19" t="s">
        <v>195</v>
      </c>
      <c r="J90" s="23">
        <v>7.2966666666666669</v>
      </c>
      <c r="K90" s="44">
        <v>0.13012814197295414</v>
      </c>
      <c r="L90" s="23">
        <v>12.066666666666668</v>
      </c>
      <c r="M90" s="44">
        <v>0.23094010767584949</v>
      </c>
      <c r="N90" s="25">
        <v>547.83333333333337</v>
      </c>
      <c r="O90" s="44">
        <v>45.42789157921964</v>
      </c>
      <c r="P90" s="25">
        <v>528.31882866348633</v>
      </c>
      <c r="Q90" s="44">
        <v>363.1956333234412</v>
      </c>
      <c r="R90" s="23">
        <v>1.5602944524550117</v>
      </c>
      <c r="S90" s="35">
        <v>5</v>
      </c>
      <c r="T90" s="30">
        <v>44501</v>
      </c>
      <c r="U90" s="31">
        <v>0.41666666666666669</v>
      </c>
      <c r="V90" s="14">
        <f t="shared" si="9"/>
        <v>3</v>
      </c>
    </row>
    <row r="91" spans="1:22" x14ac:dyDescent="0.35">
      <c r="A91" t="str">
        <f t="shared" si="5"/>
        <v>ESTUDIO SEGUIMIENTO DESEMPEÑO AMBIENTAL ACUICULTURA EN CHILE Y SU EFECTO EN LOS ECOSISTEMAS DE EMPLAZAMIENTO 2021-2022</v>
      </c>
      <c r="B91" t="str">
        <f t="shared" si="6"/>
        <v>Objetivo 1. Actividad 2. Muestreos y Analisis sedimentos</v>
      </c>
      <c r="C91" t="str">
        <f t="shared" si="7"/>
        <v>Gastón Vidal</v>
      </c>
      <c r="D91" t="str">
        <f t="shared" si="8"/>
        <v>INSTITUTO DE FOMENTO PESQUERO</v>
      </c>
      <c r="E91" s="15" t="s">
        <v>37</v>
      </c>
      <c r="F91" s="16" t="s">
        <v>193</v>
      </c>
      <c r="G91" s="17">
        <v>6</v>
      </c>
      <c r="H91" s="19" t="s">
        <v>196</v>
      </c>
      <c r="I91" s="19" t="s">
        <v>197</v>
      </c>
      <c r="J91" s="23">
        <v>7.4866666666666672</v>
      </c>
      <c r="K91" s="44">
        <v>5.1316014394469103E-2</v>
      </c>
      <c r="L91" s="23">
        <v>12.933333333333332</v>
      </c>
      <c r="M91" s="44">
        <v>0.15275252316519414</v>
      </c>
      <c r="N91" s="25">
        <v>367.63333333333338</v>
      </c>
      <c r="O91" s="44">
        <v>15.750661361775681</v>
      </c>
      <c r="P91" s="25" t="s">
        <v>336</v>
      </c>
      <c r="Q91" s="44"/>
      <c r="R91" s="23">
        <v>1.6414383342914027</v>
      </c>
      <c r="S91" s="35">
        <v>5.5</v>
      </c>
      <c r="T91" s="30">
        <v>44501</v>
      </c>
      <c r="U91" s="31">
        <v>0.51388888888888895</v>
      </c>
      <c r="V91" s="14">
        <f t="shared" si="9"/>
        <v>6</v>
      </c>
    </row>
    <row r="92" spans="1:22" x14ac:dyDescent="0.35">
      <c r="A92" t="str">
        <f t="shared" si="5"/>
        <v>ESTUDIO SEGUIMIENTO DESEMPEÑO AMBIENTAL ACUICULTURA EN CHILE Y SU EFECTO EN LOS ECOSISTEMAS DE EMPLAZAMIENTO 2021-2022</v>
      </c>
      <c r="B92" t="str">
        <f t="shared" si="6"/>
        <v>Objetivo 1. Actividad 2. Muestreos y Analisis sedimentos</v>
      </c>
      <c r="C92" t="str">
        <f t="shared" si="7"/>
        <v>Gastón Vidal</v>
      </c>
      <c r="D92" t="str">
        <f t="shared" si="8"/>
        <v>INSTITUTO DE FOMENTO PESQUERO</v>
      </c>
      <c r="E92" s="15" t="s">
        <v>37</v>
      </c>
      <c r="F92" s="16" t="s">
        <v>193</v>
      </c>
      <c r="G92" s="17">
        <v>7</v>
      </c>
      <c r="H92" s="19" t="s">
        <v>198</v>
      </c>
      <c r="I92" s="19" t="s">
        <v>199</v>
      </c>
      <c r="J92" s="23">
        <v>7.02</v>
      </c>
      <c r="K92" s="44">
        <v>0.30315012782448258</v>
      </c>
      <c r="L92" s="23">
        <v>13.966666666666669</v>
      </c>
      <c r="M92" s="44">
        <v>0.28867513459481292</v>
      </c>
      <c r="N92" s="25">
        <v>328.26666666666665</v>
      </c>
      <c r="O92" s="44">
        <v>42.928351160198922</v>
      </c>
      <c r="P92" s="25" t="s">
        <v>336</v>
      </c>
      <c r="Q92" s="44"/>
      <c r="R92" s="23">
        <v>2.9009628396770641</v>
      </c>
      <c r="S92" s="35">
        <v>3.5</v>
      </c>
      <c r="T92" s="30">
        <v>44501</v>
      </c>
      <c r="U92" s="31">
        <v>0.46180555555555558</v>
      </c>
      <c r="V92" s="14">
        <f t="shared" si="9"/>
        <v>7</v>
      </c>
    </row>
    <row r="93" spans="1:22" x14ac:dyDescent="0.35">
      <c r="A93" t="str">
        <f t="shared" si="5"/>
        <v>ESTUDIO SEGUIMIENTO DESEMPEÑO AMBIENTAL ACUICULTURA EN CHILE Y SU EFECTO EN LOS ECOSISTEMAS DE EMPLAZAMIENTO 2021-2022</v>
      </c>
      <c r="B93" t="str">
        <f t="shared" si="6"/>
        <v>Objetivo 1. Actividad 2. Muestreos y Analisis sedimentos</v>
      </c>
      <c r="C93" t="str">
        <f t="shared" si="7"/>
        <v>Gastón Vidal</v>
      </c>
      <c r="D93" t="str">
        <f t="shared" si="8"/>
        <v>INSTITUTO DE FOMENTO PESQUERO</v>
      </c>
      <c r="E93" s="15" t="s">
        <v>37</v>
      </c>
      <c r="F93" s="16" t="s">
        <v>193</v>
      </c>
      <c r="G93" s="17">
        <v>13</v>
      </c>
      <c r="H93" s="19" t="s">
        <v>200</v>
      </c>
      <c r="I93" s="19" t="s">
        <v>201</v>
      </c>
      <c r="J93" s="23">
        <v>7.7966666666666669</v>
      </c>
      <c r="K93" s="44">
        <v>0.1096965511460289</v>
      </c>
      <c r="L93" s="23">
        <v>14.533333333333331</v>
      </c>
      <c r="M93" s="44">
        <v>0.30550504633039</v>
      </c>
      <c r="N93" s="25">
        <v>524.1</v>
      </c>
      <c r="O93" s="44">
        <v>49.153128079502714</v>
      </c>
      <c r="P93" s="25" t="s">
        <v>336</v>
      </c>
      <c r="Q93" s="44"/>
      <c r="R93" s="23">
        <v>1.0030360638992453</v>
      </c>
      <c r="S93" s="35">
        <v>5</v>
      </c>
      <c r="T93" s="30">
        <v>44500</v>
      </c>
      <c r="U93" s="31">
        <v>0.61249999999999993</v>
      </c>
      <c r="V93" s="14">
        <f t="shared" si="9"/>
        <v>13</v>
      </c>
    </row>
    <row r="94" spans="1:22" x14ac:dyDescent="0.35">
      <c r="A94" t="str">
        <f t="shared" si="5"/>
        <v>ESTUDIO SEGUIMIENTO DESEMPEÑO AMBIENTAL ACUICULTURA EN CHILE Y SU EFECTO EN LOS ECOSISTEMAS DE EMPLAZAMIENTO 2021-2022</v>
      </c>
      <c r="B94" t="str">
        <f t="shared" si="6"/>
        <v>Objetivo 1. Actividad 2. Muestreos y Analisis sedimentos</v>
      </c>
      <c r="C94" t="str">
        <f t="shared" si="7"/>
        <v>Gastón Vidal</v>
      </c>
      <c r="D94" t="str">
        <f t="shared" si="8"/>
        <v>INSTITUTO DE FOMENTO PESQUERO</v>
      </c>
      <c r="E94" s="15" t="s">
        <v>37</v>
      </c>
      <c r="F94" s="16" t="s">
        <v>193</v>
      </c>
      <c r="G94" s="17">
        <v>14</v>
      </c>
      <c r="H94" s="19" t="s">
        <v>202</v>
      </c>
      <c r="I94" s="19" t="s">
        <v>203</v>
      </c>
      <c r="J94" s="23">
        <v>7.6433333333333335</v>
      </c>
      <c r="K94" s="44">
        <v>9.7125348562223254E-2</v>
      </c>
      <c r="L94" s="23">
        <v>13.466666666666667</v>
      </c>
      <c r="M94" s="44">
        <v>0.46188021535170104</v>
      </c>
      <c r="N94" s="25">
        <v>236.6</v>
      </c>
      <c r="O94" s="44">
        <v>39.310431185628225</v>
      </c>
      <c r="P94" s="25">
        <v>1364.4230004273545</v>
      </c>
      <c r="Q94" s="42">
        <v>447.74156347088689</v>
      </c>
      <c r="R94" s="23">
        <v>1.6548806871387385</v>
      </c>
      <c r="S94" s="35">
        <v>4.5</v>
      </c>
      <c r="T94" s="30">
        <v>44500</v>
      </c>
      <c r="U94" s="31">
        <v>0.66666666666666663</v>
      </c>
      <c r="V94" s="14">
        <f t="shared" si="9"/>
        <v>14</v>
      </c>
    </row>
    <row r="95" spans="1:22" x14ac:dyDescent="0.35">
      <c r="A95" t="str">
        <f t="shared" si="5"/>
        <v>ESTUDIO SEGUIMIENTO DESEMPEÑO AMBIENTAL ACUICULTURA EN CHILE Y SU EFECTO EN LOS ECOSISTEMAS DE EMPLAZAMIENTO 2021-2022</v>
      </c>
      <c r="B95" t="str">
        <f t="shared" si="6"/>
        <v>Objetivo 1. Actividad 2. Muestreos y Analisis sedimentos</v>
      </c>
      <c r="C95" t="str">
        <f t="shared" si="7"/>
        <v>Gastón Vidal</v>
      </c>
      <c r="D95" t="str">
        <f t="shared" si="8"/>
        <v>INSTITUTO DE FOMENTO PESQUERO</v>
      </c>
      <c r="E95" s="15" t="s">
        <v>37</v>
      </c>
      <c r="F95" s="16" t="s">
        <v>204</v>
      </c>
      <c r="G95" s="17">
        <v>1</v>
      </c>
      <c r="H95" s="19" t="s">
        <v>205</v>
      </c>
      <c r="I95" s="19" t="s">
        <v>206</v>
      </c>
      <c r="J95" s="23">
        <v>7.4533333333333331</v>
      </c>
      <c r="K95" s="44">
        <v>0.19425069712444615</v>
      </c>
      <c r="L95" s="23">
        <v>13.5</v>
      </c>
      <c r="M95" s="44">
        <v>0.52915026221291794</v>
      </c>
      <c r="N95" s="25">
        <v>439.5333333333333</v>
      </c>
      <c r="O95" s="44">
        <v>43.430442472226012</v>
      </c>
      <c r="P95" s="25" t="s">
        <v>336</v>
      </c>
      <c r="Q95" s="44"/>
      <c r="R95" s="23">
        <v>1.3897074424196978</v>
      </c>
      <c r="S95" s="35">
        <v>7</v>
      </c>
      <c r="T95" s="30">
        <v>44530</v>
      </c>
      <c r="U95" s="31">
        <v>0.46527777777777773</v>
      </c>
      <c r="V95" s="14">
        <f t="shared" si="9"/>
        <v>1</v>
      </c>
    </row>
    <row r="96" spans="1:22" x14ac:dyDescent="0.35">
      <c r="A96" t="str">
        <f t="shared" si="5"/>
        <v>ESTUDIO SEGUIMIENTO DESEMPEÑO AMBIENTAL ACUICULTURA EN CHILE Y SU EFECTO EN LOS ECOSISTEMAS DE EMPLAZAMIENTO 2021-2022</v>
      </c>
      <c r="B96" t="str">
        <f t="shared" si="6"/>
        <v>Objetivo 1. Actividad 2. Muestreos y Analisis sedimentos</v>
      </c>
      <c r="C96" t="str">
        <f t="shared" si="7"/>
        <v>Gastón Vidal</v>
      </c>
      <c r="D96" t="str">
        <f t="shared" si="8"/>
        <v>INSTITUTO DE FOMENTO PESQUERO</v>
      </c>
      <c r="E96" s="15" t="s">
        <v>37</v>
      </c>
      <c r="F96" s="16" t="s">
        <v>204</v>
      </c>
      <c r="G96" s="17">
        <v>2</v>
      </c>
      <c r="H96" s="19" t="s">
        <v>207</v>
      </c>
      <c r="I96" s="19" t="s">
        <v>208</v>
      </c>
      <c r="J96" s="23">
        <v>7.2633333333333328</v>
      </c>
      <c r="K96" s="44">
        <v>0.10692676621563621</v>
      </c>
      <c r="L96" s="23">
        <v>12.033333333333333</v>
      </c>
      <c r="M96" s="44">
        <v>0.15275252316519414</v>
      </c>
      <c r="N96" s="25">
        <v>552.23333333333323</v>
      </c>
      <c r="O96" s="44">
        <v>39.351789455288191</v>
      </c>
      <c r="P96" s="25">
        <v>104.83001158302136</v>
      </c>
      <c r="Q96" s="42">
        <v>30.511484997003283</v>
      </c>
      <c r="R96" s="23">
        <v>2.5858645289401907</v>
      </c>
      <c r="S96" s="35">
        <v>4</v>
      </c>
      <c r="T96" s="30">
        <v>44530</v>
      </c>
      <c r="U96" s="31">
        <v>0.375</v>
      </c>
      <c r="V96" s="14">
        <f t="shared" si="9"/>
        <v>2</v>
      </c>
    </row>
    <row r="97" spans="1:22" x14ac:dyDescent="0.35">
      <c r="A97" t="str">
        <f t="shared" si="5"/>
        <v>ESTUDIO SEGUIMIENTO DESEMPEÑO AMBIENTAL ACUICULTURA EN CHILE Y SU EFECTO EN LOS ECOSISTEMAS DE EMPLAZAMIENTO 2021-2022</v>
      </c>
      <c r="B97" t="str">
        <f t="shared" si="6"/>
        <v>Objetivo 1. Actividad 2. Muestreos y Analisis sedimentos</v>
      </c>
      <c r="C97" t="str">
        <f t="shared" si="7"/>
        <v>Gastón Vidal</v>
      </c>
      <c r="D97" t="str">
        <f t="shared" si="8"/>
        <v>INSTITUTO DE FOMENTO PESQUERO</v>
      </c>
      <c r="E97" s="15" t="s">
        <v>37</v>
      </c>
      <c r="F97" s="16" t="s">
        <v>204</v>
      </c>
      <c r="G97" s="17">
        <v>3</v>
      </c>
      <c r="H97" s="19" t="s">
        <v>209</v>
      </c>
      <c r="I97" s="19" t="s">
        <v>210</v>
      </c>
      <c r="J97" s="23">
        <v>7.3933333333333335</v>
      </c>
      <c r="K97" s="44">
        <v>0.20599352740640481</v>
      </c>
      <c r="L97" s="23">
        <v>14.066666666666668</v>
      </c>
      <c r="M97" s="44">
        <v>0.51316014394468823</v>
      </c>
      <c r="N97" s="25">
        <v>282.23333333333329</v>
      </c>
      <c r="O97" s="44">
        <v>18.238512366235721</v>
      </c>
      <c r="P97" s="25" t="s">
        <v>336</v>
      </c>
      <c r="Q97" s="44"/>
      <c r="R97" s="23">
        <v>0.64717696942645142</v>
      </c>
      <c r="S97" s="35">
        <v>3.5</v>
      </c>
      <c r="T97" s="30">
        <v>44499</v>
      </c>
      <c r="U97" s="31">
        <v>0.65555555555555556</v>
      </c>
      <c r="V97" s="14">
        <f t="shared" si="9"/>
        <v>3</v>
      </c>
    </row>
    <row r="98" spans="1:22" x14ac:dyDescent="0.35">
      <c r="A98" t="str">
        <f t="shared" si="5"/>
        <v>ESTUDIO SEGUIMIENTO DESEMPEÑO AMBIENTAL ACUICULTURA EN CHILE Y SU EFECTO EN LOS ECOSISTEMAS DE EMPLAZAMIENTO 2021-2022</v>
      </c>
      <c r="B98" t="str">
        <f t="shared" si="6"/>
        <v>Objetivo 1. Actividad 2. Muestreos y Analisis sedimentos</v>
      </c>
      <c r="C98" t="str">
        <f t="shared" si="7"/>
        <v>Gastón Vidal</v>
      </c>
      <c r="D98" t="str">
        <f t="shared" si="8"/>
        <v>INSTITUTO DE FOMENTO PESQUERO</v>
      </c>
      <c r="E98" s="15" t="s">
        <v>37</v>
      </c>
      <c r="F98" s="16" t="s">
        <v>204</v>
      </c>
      <c r="G98" s="17">
        <v>4</v>
      </c>
      <c r="H98" s="19" t="s">
        <v>211</v>
      </c>
      <c r="I98" s="19" t="s">
        <v>212</v>
      </c>
      <c r="J98" s="23">
        <v>7.6133333333333333</v>
      </c>
      <c r="K98" s="44">
        <v>0.19295940851208412</v>
      </c>
      <c r="L98" s="23">
        <v>12.933333333333332</v>
      </c>
      <c r="M98" s="44">
        <v>0.15275252316519414</v>
      </c>
      <c r="N98" s="25">
        <v>311.50000000000006</v>
      </c>
      <c r="O98" s="44">
        <v>45.874611714977831</v>
      </c>
      <c r="P98" s="25">
        <v>801.98725151241763</v>
      </c>
      <c r="Q98" s="44">
        <v>877.02301807441904</v>
      </c>
      <c r="R98" s="23">
        <v>0.81966168240977155</v>
      </c>
      <c r="S98" s="35">
        <v>4</v>
      </c>
      <c r="T98" s="30">
        <v>44499</v>
      </c>
      <c r="U98" s="31">
        <v>0.60763888888888895</v>
      </c>
      <c r="V98" s="14">
        <f t="shared" si="9"/>
        <v>4</v>
      </c>
    </row>
    <row r="99" spans="1:22" x14ac:dyDescent="0.35">
      <c r="A99" t="str">
        <f t="shared" si="5"/>
        <v>ESTUDIO SEGUIMIENTO DESEMPEÑO AMBIENTAL ACUICULTURA EN CHILE Y SU EFECTO EN LOS ECOSISTEMAS DE EMPLAZAMIENTO 2021-2022</v>
      </c>
      <c r="B99" t="str">
        <f t="shared" si="6"/>
        <v>Objetivo 1. Actividad 2. Muestreos y Analisis sedimentos</v>
      </c>
      <c r="C99" t="str">
        <f t="shared" si="7"/>
        <v>Gastón Vidal</v>
      </c>
      <c r="D99" t="str">
        <f t="shared" si="8"/>
        <v>INSTITUTO DE FOMENTO PESQUERO</v>
      </c>
      <c r="E99" s="15" t="s">
        <v>37</v>
      </c>
      <c r="F99" s="16" t="s">
        <v>204</v>
      </c>
      <c r="G99" s="17">
        <v>7</v>
      </c>
      <c r="H99" s="19" t="s">
        <v>213</v>
      </c>
      <c r="I99" s="19" t="s">
        <v>214</v>
      </c>
      <c r="J99" s="23">
        <v>7.5966666666666667</v>
      </c>
      <c r="K99" s="44">
        <v>2.0816659994661382E-2</v>
      </c>
      <c r="L99" s="23">
        <v>12.266666666666666</v>
      </c>
      <c r="M99" s="44">
        <v>0.15275252316519508</v>
      </c>
      <c r="N99" s="25">
        <v>357.43333333333334</v>
      </c>
      <c r="O99" s="44">
        <v>6.6890457715083018</v>
      </c>
      <c r="P99" s="25">
        <v>0.05</v>
      </c>
      <c r="Q99" s="42"/>
      <c r="R99" s="23">
        <v>0.95962032413261289</v>
      </c>
      <c r="S99" s="35">
        <v>9</v>
      </c>
      <c r="T99" s="30">
        <v>44499</v>
      </c>
      <c r="U99" s="31">
        <v>0.52430555555555558</v>
      </c>
      <c r="V99" s="14">
        <f t="shared" si="9"/>
        <v>7</v>
      </c>
    </row>
    <row r="100" spans="1:22" x14ac:dyDescent="0.35">
      <c r="A100" t="str">
        <f t="shared" si="5"/>
        <v>ESTUDIO SEGUIMIENTO DESEMPEÑO AMBIENTAL ACUICULTURA EN CHILE Y SU EFECTO EN LOS ECOSISTEMAS DE EMPLAZAMIENTO 2021-2022</v>
      </c>
      <c r="B100" t="str">
        <f t="shared" si="6"/>
        <v>Objetivo 1. Actividad 2. Muestreos y Analisis sedimentos</v>
      </c>
      <c r="C100" t="str">
        <f t="shared" si="7"/>
        <v>Gastón Vidal</v>
      </c>
      <c r="D100" t="str">
        <f t="shared" si="8"/>
        <v>INSTITUTO DE FOMENTO PESQUERO</v>
      </c>
      <c r="E100" s="15" t="s">
        <v>37</v>
      </c>
      <c r="F100" s="16" t="s">
        <v>204</v>
      </c>
      <c r="G100" s="17">
        <v>9</v>
      </c>
      <c r="H100" s="19" t="s">
        <v>215</v>
      </c>
      <c r="I100" s="19" t="s">
        <v>216</v>
      </c>
      <c r="J100" s="23">
        <v>7.43</v>
      </c>
      <c r="K100" s="44">
        <v>7.9372539331937872E-2</v>
      </c>
      <c r="L100" s="23">
        <v>12.833333333333334</v>
      </c>
      <c r="M100" s="44">
        <v>0.68068592855540411</v>
      </c>
      <c r="N100" s="25">
        <v>346.4666666666667</v>
      </c>
      <c r="O100" s="44">
        <v>44.547315669222073</v>
      </c>
      <c r="P100" s="25" t="s">
        <v>336</v>
      </c>
      <c r="Q100" s="44"/>
      <c r="R100" s="23">
        <v>0.69875998739940937</v>
      </c>
      <c r="S100" s="35">
        <v>3.5</v>
      </c>
      <c r="T100" s="30">
        <v>44498</v>
      </c>
      <c r="U100" s="31">
        <v>0.65486111111111112</v>
      </c>
      <c r="V100" s="14">
        <f t="shared" si="9"/>
        <v>9</v>
      </c>
    </row>
    <row r="101" spans="1:22" x14ac:dyDescent="0.35">
      <c r="A101" t="str">
        <f t="shared" si="5"/>
        <v>ESTUDIO SEGUIMIENTO DESEMPEÑO AMBIENTAL ACUICULTURA EN CHILE Y SU EFECTO EN LOS ECOSISTEMAS DE EMPLAZAMIENTO 2021-2022</v>
      </c>
      <c r="B101" t="str">
        <f t="shared" si="6"/>
        <v>Objetivo 1. Actividad 2. Muestreos y Analisis sedimentos</v>
      </c>
      <c r="C101" t="str">
        <f t="shared" si="7"/>
        <v>Gastón Vidal</v>
      </c>
      <c r="D101" t="str">
        <f t="shared" si="8"/>
        <v>INSTITUTO DE FOMENTO PESQUERO</v>
      </c>
      <c r="E101" s="15" t="s">
        <v>37</v>
      </c>
      <c r="F101" s="16" t="s">
        <v>217</v>
      </c>
      <c r="G101" s="17">
        <v>3</v>
      </c>
      <c r="H101" s="19" t="s">
        <v>218</v>
      </c>
      <c r="I101" s="19" t="s">
        <v>219</v>
      </c>
      <c r="J101" s="23">
        <v>7.7766666666666664</v>
      </c>
      <c r="K101" s="44">
        <v>0.16862186493255629</v>
      </c>
      <c r="L101" s="23">
        <v>13.133333333333335</v>
      </c>
      <c r="M101" s="44">
        <v>0.49328828623162402</v>
      </c>
      <c r="N101" s="25">
        <v>400.5333333333333</v>
      </c>
      <c r="O101" s="44">
        <v>6.0912505557835503</v>
      </c>
      <c r="P101" s="25" t="s">
        <v>336</v>
      </c>
      <c r="Q101" s="44"/>
      <c r="R101" s="23">
        <v>0.42892472564275014</v>
      </c>
      <c r="S101" s="35">
        <v>3</v>
      </c>
      <c r="T101" s="30">
        <v>44498</v>
      </c>
      <c r="U101" s="31">
        <v>0.62152777777777779</v>
      </c>
      <c r="V101" s="14">
        <f t="shared" si="9"/>
        <v>3</v>
      </c>
    </row>
    <row r="102" spans="1:22" x14ac:dyDescent="0.35">
      <c r="A102" t="str">
        <f t="shared" si="5"/>
        <v>ESTUDIO SEGUIMIENTO DESEMPEÑO AMBIENTAL ACUICULTURA EN CHILE Y SU EFECTO EN LOS ECOSISTEMAS DE EMPLAZAMIENTO 2021-2022</v>
      </c>
      <c r="B102" t="str">
        <f t="shared" si="6"/>
        <v>Objetivo 1. Actividad 2. Muestreos y Analisis sedimentos</v>
      </c>
      <c r="C102" t="str">
        <f t="shared" si="7"/>
        <v>Gastón Vidal</v>
      </c>
      <c r="D102" t="str">
        <f t="shared" si="8"/>
        <v>INSTITUTO DE FOMENTO PESQUERO</v>
      </c>
      <c r="E102" s="15" t="s">
        <v>37</v>
      </c>
      <c r="F102" s="16" t="s">
        <v>217</v>
      </c>
      <c r="G102" s="17">
        <v>4</v>
      </c>
      <c r="H102" s="19" t="s">
        <v>220</v>
      </c>
      <c r="I102" s="19" t="s">
        <v>221</v>
      </c>
      <c r="J102" s="23">
        <v>7.31</v>
      </c>
      <c r="K102" s="44">
        <v>0.15620499351813311</v>
      </c>
      <c r="L102" s="23">
        <v>12.033333333333333</v>
      </c>
      <c r="M102" s="44">
        <v>0.7571877794400369</v>
      </c>
      <c r="N102" s="25">
        <v>321.06666666666666</v>
      </c>
      <c r="O102" s="44">
        <v>130.77956007470473</v>
      </c>
      <c r="P102" s="25">
        <v>122.51713374727986</v>
      </c>
      <c r="Q102" s="44">
        <v>61.60245918475556</v>
      </c>
      <c r="R102" s="23">
        <v>1.2519774011299694</v>
      </c>
      <c r="S102" s="35">
        <v>2.5</v>
      </c>
      <c r="T102" s="30">
        <v>44498</v>
      </c>
      <c r="U102" s="31">
        <v>0.55902777777777779</v>
      </c>
      <c r="V102" s="14">
        <f t="shared" si="9"/>
        <v>4</v>
      </c>
    </row>
    <row r="103" spans="1:22" x14ac:dyDescent="0.35">
      <c r="A103" t="str">
        <f t="shared" si="5"/>
        <v>ESTUDIO SEGUIMIENTO DESEMPEÑO AMBIENTAL ACUICULTURA EN CHILE Y SU EFECTO EN LOS ECOSISTEMAS DE EMPLAZAMIENTO 2021-2022</v>
      </c>
      <c r="B103" t="str">
        <f t="shared" si="6"/>
        <v>Objetivo 1. Actividad 2. Muestreos y Analisis sedimentos</v>
      </c>
      <c r="C103" t="str">
        <f t="shared" si="7"/>
        <v>Gastón Vidal</v>
      </c>
      <c r="D103" t="str">
        <f t="shared" si="8"/>
        <v>INSTITUTO DE FOMENTO PESQUERO</v>
      </c>
      <c r="E103" s="15" t="s">
        <v>37</v>
      </c>
      <c r="F103" s="16" t="s">
        <v>217</v>
      </c>
      <c r="G103" s="17">
        <v>12</v>
      </c>
      <c r="H103" s="19" t="s">
        <v>222</v>
      </c>
      <c r="I103" s="19" t="s">
        <v>223</v>
      </c>
      <c r="J103" s="23">
        <v>7.6466666666666674</v>
      </c>
      <c r="K103" s="44">
        <v>0.16196707484341802</v>
      </c>
      <c r="L103" s="23">
        <v>11.9</v>
      </c>
      <c r="M103" s="44">
        <v>9.9999999999999645E-2</v>
      </c>
      <c r="N103" s="25">
        <v>585.93333333333339</v>
      </c>
      <c r="O103" s="44">
        <v>44.904491237885509</v>
      </c>
      <c r="P103" s="25" t="s">
        <v>336</v>
      </c>
      <c r="Q103" s="44"/>
      <c r="R103" s="23">
        <v>0.39547875117469505</v>
      </c>
      <c r="S103" s="35">
        <v>7</v>
      </c>
      <c r="T103" s="30">
        <v>44498</v>
      </c>
      <c r="U103" s="31">
        <v>0.4236111111111111</v>
      </c>
      <c r="V103" s="14">
        <f t="shared" si="9"/>
        <v>12</v>
      </c>
    </row>
    <row r="104" spans="1:22" x14ac:dyDescent="0.35">
      <c r="A104" t="str">
        <f t="shared" si="5"/>
        <v>ESTUDIO SEGUIMIENTO DESEMPEÑO AMBIENTAL ACUICULTURA EN CHILE Y SU EFECTO EN LOS ECOSISTEMAS DE EMPLAZAMIENTO 2021-2022</v>
      </c>
      <c r="B104" t="str">
        <f t="shared" si="6"/>
        <v>Objetivo 1. Actividad 2. Muestreos y Analisis sedimentos</v>
      </c>
      <c r="C104" t="str">
        <f t="shared" si="7"/>
        <v>Gastón Vidal</v>
      </c>
      <c r="D104" t="str">
        <f t="shared" si="8"/>
        <v>INSTITUTO DE FOMENTO PESQUERO</v>
      </c>
      <c r="E104" s="15" t="s">
        <v>37</v>
      </c>
      <c r="F104" s="16" t="s">
        <v>217</v>
      </c>
      <c r="G104" s="17">
        <v>14</v>
      </c>
      <c r="H104" s="19" t="s">
        <v>224</v>
      </c>
      <c r="I104" s="19" t="s">
        <v>225</v>
      </c>
      <c r="J104" s="23">
        <v>7.416666666666667</v>
      </c>
      <c r="K104" s="44">
        <v>0.12662279942148388</v>
      </c>
      <c r="L104" s="23">
        <v>12</v>
      </c>
      <c r="M104" s="44">
        <v>9.9999999999999645E-2</v>
      </c>
      <c r="N104" s="25">
        <v>437.86666666666662</v>
      </c>
      <c r="O104" s="44">
        <v>5.5320279584735825</v>
      </c>
      <c r="P104" s="25">
        <v>0.05</v>
      </c>
      <c r="Q104" s="42"/>
      <c r="R104" s="23">
        <v>2.7782650994401843</v>
      </c>
      <c r="S104" s="35">
        <v>4</v>
      </c>
      <c r="T104" s="30">
        <v>44498</v>
      </c>
      <c r="U104" s="31">
        <v>0.39583333333333331</v>
      </c>
      <c r="V104" s="14">
        <f t="shared" si="9"/>
        <v>14</v>
      </c>
    </row>
    <row r="105" spans="1:22" x14ac:dyDescent="0.35">
      <c r="A105" t="str">
        <f t="shared" si="5"/>
        <v>ESTUDIO SEGUIMIENTO DESEMPEÑO AMBIENTAL ACUICULTURA EN CHILE Y SU EFECTO EN LOS ECOSISTEMAS DE EMPLAZAMIENTO 2021-2022</v>
      </c>
      <c r="B105" t="str">
        <f t="shared" si="6"/>
        <v>Objetivo 1. Actividad 2. Muestreos y Analisis sedimentos</v>
      </c>
      <c r="C105" t="str">
        <f t="shared" si="7"/>
        <v>Gastón Vidal</v>
      </c>
      <c r="D105" t="str">
        <f t="shared" si="8"/>
        <v>INSTITUTO DE FOMENTO PESQUERO</v>
      </c>
      <c r="E105" s="15" t="s">
        <v>37</v>
      </c>
      <c r="F105" s="16" t="s">
        <v>217</v>
      </c>
      <c r="G105" s="17">
        <v>18</v>
      </c>
      <c r="H105" s="19" t="s">
        <v>226</v>
      </c>
      <c r="I105" s="19" t="s">
        <v>227</v>
      </c>
      <c r="J105" s="23">
        <v>7.54</v>
      </c>
      <c r="K105" s="44">
        <v>0.27712812921102059</v>
      </c>
      <c r="L105" s="23">
        <v>13.933333333333332</v>
      </c>
      <c r="M105" s="44">
        <v>0.20816659994661352</v>
      </c>
      <c r="N105" s="25">
        <v>531.30000000000007</v>
      </c>
      <c r="O105" s="44">
        <v>49.608366229901158</v>
      </c>
      <c r="P105" s="25">
        <v>0.05</v>
      </c>
      <c r="Q105" s="42"/>
      <c r="R105" s="23">
        <v>0.5448957983627446</v>
      </c>
      <c r="S105" s="35">
        <v>7.5</v>
      </c>
      <c r="T105" s="30">
        <v>44519</v>
      </c>
      <c r="U105" s="31">
        <v>0.61249999999999993</v>
      </c>
      <c r="V105" s="14">
        <f t="shared" si="9"/>
        <v>18</v>
      </c>
    </row>
    <row r="106" spans="1:22" x14ac:dyDescent="0.35">
      <c r="A106" t="str">
        <f t="shared" si="5"/>
        <v>ESTUDIO SEGUIMIENTO DESEMPEÑO AMBIENTAL ACUICULTURA EN CHILE Y SU EFECTO EN LOS ECOSISTEMAS DE EMPLAZAMIENTO 2021-2022</v>
      </c>
      <c r="B106" t="str">
        <f t="shared" si="6"/>
        <v>Objetivo 1. Actividad 2. Muestreos y Analisis sedimentos</v>
      </c>
      <c r="C106" t="str">
        <f t="shared" si="7"/>
        <v>Gastón Vidal</v>
      </c>
      <c r="D106" t="str">
        <f t="shared" si="8"/>
        <v>INSTITUTO DE FOMENTO PESQUERO</v>
      </c>
      <c r="E106" s="15" t="s">
        <v>37</v>
      </c>
      <c r="F106" s="16" t="s">
        <v>217</v>
      </c>
      <c r="G106" s="17">
        <v>19</v>
      </c>
      <c r="H106" s="19" t="s">
        <v>228</v>
      </c>
      <c r="I106" s="19" t="s">
        <v>229</v>
      </c>
      <c r="J106" s="23">
        <v>7.4066666666666663</v>
      </c>
      <c r="K106" s="44">
        <v>0.1457166199626293</v>
      </c>
      <c r="L106" s="23">
        <v>13.266666666666666</v>
      </c>
      <c r="M106" s="44">
        <v>0.83864970836060793</v>
      </c>
      <c r="N106" s="25">
        <v>511.43333333333339</v>
      </c>
      <c r="O106" s="44">
        <v>41.839972912674469</v>
      </c>
      <c r="P106" s="25">
        <v>0.05</v>
      </c>
      <c r="Q106" s="42"/>
      <c r="R106" s="23">
        <v>0.34295887111552398</v>
      </c>
      <c r="S106" s="35">
        <v>7</v>
      </c>
      <c r="T106" s="30">
        <v>44519</v>
      </c>
      <c r="U106" s="31">
        <v>0.63402777777777775</v>
      </c>
      <c r="V106" s="14">
        <f t="shared" si="9"/>
        <v>19</v>
      </c>
    </row>
    <row r="107" spans="1:22" x14ac:dyDescent="0.35">
      <c r="A107" t="str">
        <f t="shared" si="5"/>
        <v>ESTUDIO SEGUIMIENTO DESEMPEÑO AMBIENTAL ACUICULTURA EN CHILE Y SU EFECTO EN LOS ECOSISTEMAS DE EMPLAZAMIENTO 2021-2022</v>
      </c>
      <c r="B107" t="str">
        <f t="shared" si="6"/>
        <v>Objetivo 1. Actividad 2. Muestreos y Analisis sedimentos</v>
      </c>
      <c r="C107" t="str">
        <f t="shared" si="7"/>
        <v>Gastón Vidal</v>
      </c>
      <c r="D107" t="str">
        <f t="shared" si="8"/>
        <v>INSTITUTO DE FOMENTO PESQUERO</v>
      </c>
      <c r="E107" s="15" t="s">
        <v>37</v>
      </c>
      <c r="F107" s="16" t="s">
        <v>217</v>
      </c>
      <c r="G107" s="21">
        <v>20</v>
      </c>
      <c r="H107" s="22" t="s">
        <v>230</v>
      </c>
      <c r="I107" s="22" t="s">
        <v>231</v>
      </c>
      <c r="J107" s="24" t="s">
        <v>336</v>
      </c>
      <c r="K107" s="45" t="s">
        <v>336</v>
      </c>
      <c r="L107" s="24" t="s">
        <v>336</v>
      </c>
      <c r="M107" s="45" t="s">
        <v>336</v>
      </c>
      <c r="N107" s="26" t="s">
        <v>336</v>
      </c>
      <c r="O107" s="45" t="s">
        <v>336</v>
      </c>
      <c r="P107" s="26" t="s">
        <v>336</v>
      </c>
      <c r="Q107" s="45" t="s">
        <v>336</v>
      </c>
      <c r="R107" s="24" t="s">
        <v>336</v>
      </c>
      <c r="S107" s="38">
        <v>2</v>
      </c>
      <c r="T107" s="32">
        <v>44519</v>
      </c>
      <c r="U107" s="33">
        <v>0.65972222222222221</v>
      </c>
      <c r="V107" s="14">
        <f t="shared" si="9"/>
        <v>20</v>
      </c>
    </row>
    <row r="108" spans="1:22" x14ac:dyDescent="0.35">
      <c r="A108" t="str">
        <f t="shared" si="5"/>
        <v>ESTUDIO SEGUIMIENTO DESEMPEÑO AMBIENTAL ACUICULTURA EN CHILE Y SU EFECTO EN LOS ECOSISTEMAS DE EMPLAZAMIENTO 2021-2022</v>
      </c>
      <c r="B108" t="str">
        <f t="shared" si="6"/>
        <v>Objetivo 1. Actividad 2. Muestreos y Analisis sedimentos</v>
      </c>
      <c r="C108" t="str">
        <f t="shared" si="7"/>
        <v>Gastón Vidal</v>
      </c>
      <c r="D108" t="str">
        <f t="shared" si="8"/>
        <v>INSTITUTO DE FOMENTO PESQUERO</v>
      </c>
      <c r="E108" s="15" t="s">
        <v>37</v>
      </c>
      <c r="F108" s="16" t="s">
        <v>232</v>
      </c>
      <c r="G108" s="17">
        <v>1</v>
      </c>
      <c r="H108" s="19" t="s">
        <v>233</v>
      </c>
      <c r="I108" s="19" t="s">
        <v>234</v>
      </c>
      <c r="J108" s="23">
        <v>7.5466666666666669</v>
      </c>
      <c r="K108" s="44">
        <v>0.10066445913694295</v>
      </c>
      <c r="L108" s="23">
        <v>12.833333333333334</v>
      </c>
      <c r="M108" s="44">
        <v>0.20816659994661352</v>
      </c>
      <c r="N108" s="25">
        <v>349.36666666666662</v>
      </c>
      <c r="O108" s="44">
        <v>67.251790558566867</v>
      </c>
      <c r="P108" s="25">
        <v>17.883840368643643</v>
      </c>
      <c r="Q108" s="44">
        <v>5.7129242915693546</v>
      </c>
      <c r="R108" s="23">
        <v>0.97935023878389538</v>
      </c>
      <c r="S108" s="35">
        <v>5</v>
      </c>
      <c r="T108" s="30">
        <v>44548</v>
      </c>
      <c r="U108" s="31">
        <v>0.54513888888888895</v>
      </c>
      <c r="V108" s="14">
        <f t="shared" si="9"/>
        <v>1</v>
      </c>
    </row>
    <row r="109" spans="1:22" x14ac:dyDescent="0.35">
      <c r="A109" t="str">
        <f t="shared" si="5"/>
        <v>ESTUDIO SEGUIMIENTO DESEMPEÑO AMBIENTAL ACUICULTURA EN CHILE Y SU EFECTO EN LOS ECOSISTEMAS DE EMPLAZAMIENTO 2021-2022</v>
      </c>
      <c r="B109" t="str">
        <f t="shared" si="6"/>
        <v>Objetivo 1. Actividad 2. Muestreos y Analisis sedimentos</v>
      </c>
      <c r="C109" t="str">
        <f t="shared" si="7"/>
        <v>Gastón Vidal</v>
      </c>
      <c r="D109" t="str">
        <f t="shared" si="8"/>
        <v>INSTITUTO DE FOMENTO PESQUERO</v>
      </c>
      <c r="E109" s="15" t="s">
        <v>37</v>
      </c>
      <c r="F109" s="16" t="s">
        <v>232</v>
      </c>
      <c r="G109" s="17">
        <v>4</v>
      </c>
      <c r="H109" s="19" t="s">
        <v>235</v>
      </c>
      <c r="I109" s="19" t="s">
        <v>236</v>
      </c>
      <c r="J109" s="23">
        <v>7.2833333333333341</v>
      </c>
      <c r="K109" s="44">
        <v>0.24785748593361745</v>
      </c>
      <c r="L109" s="23">
        <v>14.6</v>
      </c>
      <c r="M109" s="44">
        <v>0.69282032302755148</v>
      </c>
      <c r="N109" s="25">
        <v>489.26666666666665</v>
      </c>
      <c r="O109" s="44">
        <v>33.133869881638226</v>
      </c>
      <c r="P109" s="25" t="s">
        <v>336</v>
      </c>
      <c r="Q109" s="42"/>
      <c r="R109" s="23">
        <v>1.5799478806038088</v>
      </c>
      <c r="S109" s="35">
        <v>3</v>
      </c>
      <c r="T109" s="30">
        <v>44549</v>
      </c>
      <c r="U109" s="31">
        <v>0.34861111111111115</v>
      </c>
      <c r="V109" s="14">
        <f t="shared" si="9"/>
        <v>4</v>
      </c>
    </row>
    <row r="110" spans="1:22" x14ac:dyDescent="0.35">
      <c r="A110" t="str">
        <f t="shared" si="5"/>
        <v>ESTUDIO SEGUIMIENTO DESEMPEÑO AMBIENTAL ACUICULTURA EN CHILE Y SU EFECTO EN LOS ECOSISTEMAS DE EMPLAZAMIENTO 2021-2022</v>
      </c>
      <c r="B110" t="str">
        <f t="shared" si="6"/>
        <v>Objetivo 1. Actividad 2. Muestreos y Analisis sedimentos</v>
      </c>
      <c r="C110" t="str">
        <f t="shared" si="7"/>
        <v>Gastón Vidal</v>
      </c>
      <c r="D110" t="str">
        <f t="shared" si="8"/>
        <v>INSTITUTO DE FOMENTO PESQUERO</v>
      </c>
      <c r="E110" s="15" t="s">
        <v>37</v>
      </c>
      <c r="F110" s="16" t="s">
        <v>232</v>
      </c>
      <c r="G110" s="17">
        <v>6</v>
      </c>
      <c r="H110" s="15" t="s">
        <v>237</v>
      </c>
      <c r="I110" s="15" t="s">
        <v>238</v>
      </c>
      <c r="J110" s="23">
        <v>7.5966666666666667</v>
      </c>
      <c r="K110" s="44">
        <v>0.11060440015358027</v>
      </c>
      <c r="L110" s="23">
        <v>12.633333333333335</v>
      </c>
      <c r="M110" s="44">
        <v>0.28867513459481292</v>
      </c>
      <c r="N110" s="25">
        <v>282.76666666666665</v>
      </c>
      <c r="O110" s="44">
        <v>36.329097612428505</v>
      </c>
      <c r="P110" s="25">
        <v>218.15344546811025</v>
      </c>
      <c r="Q110" s="42">
        <v>146.09089520621689</v>
      </c>
      <c r="R110" s="23">
        <v>2.0906650345662383</v>
      </c>
      <c r="S110" s="35">
        <v>6</v>
      </c>
      <c r="T110" s="30">
        <v>44549</v>
      </c>
      <c r="U110" s="31">
        <v>0.39583333333333331</v>
      </c>
      <c r="V110" s="14">
        <f t="shared" si="9"/>
        <v>6</v>
      </c>
    </row>
    <row r="111" spans="1:22" x14ac:dyDescent="0.35">
      <c r="A111" t="str">
        <f t="shared" si="5"/>
        <v>ESTUDIO SEGUIMIENTO DESEMPEÑO AMBIENTAL ACUICULTURA EN CHILE Y SU EFECTO EN LOS ECOSISTEMAS DE EMPLAZAMIENTO 2021-2022</v>
      </c>
      <c r="B111" t="str">
        <f t="shared" si="6"/>
        <v>Objetivo 1. Actividad 2. Muestreos y Analisis sedimentos</v>
      </c>
      <c r="C111" t="str">
        <f t="shared" si="7"/>
        <v>Gastón Vidal</v>
      </c>
      <c r="D111" t="str">
        <f t="shared" si="8"/>
        <v>INSTITUTO DE FOMENTO PESQUERO</v>
      </c>
      <c r="E111" s="15" t="s">
        <v>37</v>
      </c>
      <c r="F111" s="16" t="s">
        <v>232</v>
      </c>
      <c r="G111" s="17">
        <v>7</v>
      </c>
      <c r="H111" s="19" t="s">
        <v>239</v>
      </c>
      <c r="I111" s="19" t="s">
        <v>240</v>
      </c>
      <c r="J111" s="23">
        <v>7.5766666666666671</v>
      </c>
      <c r="K111" s="44">
        <v>0.10263202878893783</v>
      </c>
      <c r="L111" s="23">
        <v>13.266666666666666</v>
      </c>
      <c r="M111" s="44">
        <v>0.30550504633038922</v>
      </c>
      <c r="N111" s="25">
        <v>501.23333333333335</v>
      </c>
      <c r="O111" s="44">
        <v>52.960960464603865</v>
      </c>
      <c r="P111" s="25">
        <v>64.455693971116489</v>
      </c>
      <c r="Q111" s="42">
        <v>26.986220542741993</v>
      </c>
      <c r="R111" s="23">
        <v>1.65302872206052</v>
      </c>
      <c r="S111" s="35">
        <v>5</v>
      </c>
      <c r="T111" s="30">
        <v>44549</v>
      </c>
      <c r="U111" s="31">
        <v>0.45833333333333331</v>
      </c>
      <c r="V111" s="14">
        <f t="shared" si="9"/>
        <v>7</v>
      </c>
    </row>
    <row r="112" spans="1:22" x14ac:dyDescent="0.35">
      <c r="A112" t="str">
        <f t="shared" si="5"/>
        <v>ESTUDIO SEGUIMIENTO DESEMPEÑO AMBIENTAL ACUICULTURA EN CHILE Y SU EFECTO EN LOS ECOSISTEMAS DE EMPLAZAMIENTO 2021-2022</v>
      </c>
      <c r="B112" t="str">
        <f t="shared" si="6"/>
        <v>Objetivo 1. Actividad 2. Muestreos y Analisis sedimentos</v>
      </c>
      <c r="C112" t="str">
        <f t="shared" si="7"/>
        <v>Gastón Vidal</v>
      </c>
      <c r="D112" t="str">
        <f t="shared" si="8"/>
        <v>INSTITUTO DE FOMENTO PESQUERO</v>
      </c>
      <c r="E112" s="15" t="s">
        <v>37</v>
      </c>
      <c r="F112" s="16" t="s">
        <v>232</v>
      </c>
      <c r="G112" s="17">
        <v>8</v>
      </c>
      <c r="H112" s="19" t="s">
        <v>241</v>
      </c>
      <c r="I112" s="19" t="s">
        <v>242</v>
      </c>
      <c r="J112" s="23">
        <v>7.2766666666666673</v>
      </c>
      <c r="K112" s="44">
        <v>4.5092497528228866E-2</v>
      </c>
      <c r="L112" s="23">
        <v>13.1</v>
      </c>
      <c r="M112" s="44">
        <v>0.3605551275463994</v>
      </c>
      <c r="N112" s="25">
        <v>320.93333333333334</v>
      </c>
      <c r="O112" s="44">
        <v>55.726594488926999</v>
      </c>
      <c r="P112" s="25">
        <v>65.045473967001456</v>
      </c>
      <c r="Q112" s="42">
        <v>25.179098059678054</v>
      </c>
      <c r="R112" s="23">
        <v>0.72164364953591131</v>
      </c>
      <c r="S112" s="35">
        <v>3.5</v>
      </c>
      <c r="T112" s="30">
        <v>44549</v>
      </c>
      <c r="U112" s="31">
        <v>0.79027777777777775</v>
      </c>
      <c r="V112" s="14">
        <f t="shared" si="9"/>
        <v>8</v>
      </c>
    </row>
    <row r="113" spans="1:22" x14ac:dyDescent="0.35">
      <c r="A113" t="str">
        <f t="shared" si="5"/>
        <v>ESTUDIO SEGUIMIENTO DESEMPEÑO AMBIENTAL ACUICULTURA EN CHILE Y SU EFECTO EN LOS ECOSISTEMAS DE EMPLAZAMIENTO 2021-2022</v>
      </c>
      <c r="B113" t="str">
        <f t="shared" si="6"/>
        <v>Objetivo 1. Actividad 2. Muestreos y Analisis sedimentos</v>
      </c>
      <c r="C113" t="str">
        <f t="shared" si="7"/>
        <v>Gastón Vidal</v>
      </c>
      <c r="D113" t="str">
        <f t="shared" si="8"/>
        <v>INSTITUTO DE FOMENTO PESQUERO</v>
      </c>
      <c r="E113" s="15" t="s">
        <v>37</v>
      </c>
      <c r="F113" s="16" t="s">
        <v>232</v>
      </c>
      <c r="G113" s="17">
        <v>9</v>
      </c>
      <c r="H113" s="19" t="s">
        <v>243</v>
      </c>
      <c r="I113" s="19" t="s">
        <v>244</v>
      </c>
      <c r="J113" s="23">
        <v>7.6866666666666665</v>
      </c>
      <c r="K113" s="44">
        <v>0.28536526301099319</v>
      </c>
      <c r="L113" s="23">
        <v>14.366666666666667</v>
      </c>
      <c r="M113" s="44">
        <v>0.45092497528228959</v>
      </c>
      <c r="N113" s="25">
        <v>281.8</v>
      </c>
      <c r="O113" s="44">
        <v>22.08777942664225</v>
      </c>
      <c r="P113" s="25" t="s">
        <v>336</v>
      </c>
      <c r="Q113" s="42"/>
      <c r="R113" s="23">
        <v>0.97382989431304501</v>
      </c>
      <c r="S113" s="35">
        <v>4.5</v>
      </c>
      <c r="T113" s="30">
        <v>44549</v>
      </c>
      <c r="U113" s="31">
        <v>0.8208333333333333</v>
      </c>
      <c r="V113" s="14">
        <f t="shared" si="9"/>
        <v>9</v>
      </c>
    </row>
    <row r="114" spans="1:22" x14ac:dyDescent="0.35">
      <c r="A114" t="str">
        <f t="shared" si="5"/>
        <v>ESTUDIO SEGUIMIENTO DESEMPEÑO AMBIENTAL ACUICULTURA EN CHILE Y SU EFECTO EN LOS ECOSISTEMAS DE EMPLAZAMIENTO 2021-2022</v>
      </c>
      <c r="B114" t="str">
        <f t="shared" si="6"/>
        <v>Objetivo 1. Actividad 2. Muestreos y Analisis sedimentos</v>
      </c>
      <c r="C114" t="str">
        <f t="shared" si="7"/>
        <v>Gastón Vidal</v>
      </c>
      <c r="D114" t="str">
        <f t="shared" si="8"/>
        <v>INSTITUTO DE FOMENTO PESQUERO</v>
      </c>
      <c r="E114" s="15" t="s">
        <v>37</v>
      </c>
      <c r="F114" s="16" t="s">
        <v>232</v>
      </c>
      <c r="G114" s="17">
        <v>10</v>
      </c>
      <c r="H114" s="19" t="s">
        <v>245</v>
      </c>
      <c r="I114" s="19" t="s">
        <v>246</v>
      </c>
      <c r="J114" s="23">
        <v>7.8166666666666664</v>
      </c>
      <c r="K114" s="44">
        <v>8.1445278152470879E-2</v>
      </c>
      <c r="L114" s="23">
        <v>13.966666666666669</v>
      </c>
      <c r="M114" s="44">
        <v>0.86216781042517132</v>
      </c>
      <c r="N114" s="25">
        <v>359.26666666666671</v>
      </c>
      <c r="O114" s="44">
        <v>41.362341971089279</v>
      </c>
      <c r="P114" s="25">
        <v>0.05</v>
      </c>
      <c r="Q114" s="42"/>
      <c r="R114" s="23">
        <v>0.64925145126792927</v>
      </c>
      <c r="S114" s="35">
        <v>8</v>
      </c>
      <c r="T114" s="30">
        <v>44549</v>
      </c>
      <c r="U114" s="31">
        <v>0.75</v>
      </c>
      <c r="V114" s="14">
        <f t="shared" si="9"/>
        <v>10</v>
      </c>
    </row>
    <row r="115" spans="1:22" x14ac:dyDescent="0.35">
      <c r="A115" t="str">
        <f t="shared" si="5"/>
        <v>ESTUDIO SEGUIMIENTO DESEMPEÑO AMBIENTAL ACUICULTURA EN CHILE Y SU EFECTO EN LOS ECOSISTEMAS DE EMPLAZAMIENTO 2021-2022</v>
      </c>
      <c r="B115" t="str">
        <f t="shared" si="6"/>
        <v>Objetivo 1. Actividad 2. Muestreos y Analisis sedimentos</v>
      </c>
      <c r="C115" t="str">
        <f t="shared" si="7"/>
        <v>Gastón Vidal</v>
      </c>
      <c r="D115" t="str">
        <f t="shared" si="8"/>
        <v>INSTITUTO DE FOMENTO PESQUERO</v>
      </c>
      <c r="E115" s="15" t="s">
        <v>37</v>
      </c>
      <c r="F115" s="16" t="s">
        <v>232</v>
      </c>
      <c r="G115" s="17">
        <v>12</v>
      </c>
      <c r="H115" s="19" t="s">
        <v>247</v>
      </c>
      <c r="I115" s="19" t="s">
        <v>248</v>
      </c>
      <c r="J115" s="23">
        <v>7.8299999999999992</v>
      </c>
      <c r="K115" s="44">
        <v>0.19078784028338891</v>
      </c>
      <c r="L115" s="23">
        <v>13.033333333333331</v>
      </c>
      <c r="M115" s="44">
        <v>0.49328828623162463</v>
      </c>
      <c r="N115" s="25">
        <v>317.10000000000002</v>
      </c>
      <c r="O115" s="44">
        <v>19.374983870961032</v>
      </c>
      <c r="P115" s="25" t="s">
        <v>336</v>
      </c>
      <c r="Q115" s="42"/>
      <c r="R115" s="23">
        <v>0.86163410544113639</v>
      </c>
      <c r="S115" s="35">
        <v>8</v>
      </c>
      <c r="T115" s="30">
        <v>44549</v>
      </c>
      <c r="U115" s="31">
        <v>0.70486111111111116</v>
      </c>
      <c r="V115" s="14">
        <f t="shared" si="9"/>
        <v>12</v>
      </c>
    </row>
    <row r="116" spans="1:22" x14ac:dyDescent="0.35">
      <c r="A116" t="str">
        <f t="shared" si="5"/>
        <v>ESTUDIO SEGUIMIENTO DESEMPEÑO AMBIENTAL ACUICULTURA EN CHILE Y SU EFECTO EN LOS ECOSISTEMAS DE EMPLAZAMIENTO 2021-2022</v>
      </c>
      <c r="B116" t="str">
        <f t="shared" si="6"/>
        <v>Objetivo 1. Actividad 2. Muestreos y Analisis sedimentos</v>
      </c>
      <c r="C116" t="str">
        <f t="shared" si="7"/>
        <v>Gastón Vidal</v>
      </c>
      <c r="D116" t="str">
        <f t="shared" si="8"/>
        <v>INSTITUTO DE FOMENTO PESQUERO</v>
      </c>
      <c r="E116" s="15" t="s">
        <v>37</v>
      </c>
      <c r="F116" s="16" t="s">
        <v>232</v>
      </c>
      <c r="G116" s="17">
        <v>17</v>
      </c>
      <c r="H116" s="19" t="s">
        <v>249</v>
      </c>
      <c r="I116" s="19" t="s">
        <v>250</v>
      </c>
      <c r="J116" s="23">
        <v>7.7433333333333323</v>
      </c>
      <c r="K116" s="44">
        <v>0.2177919496522617</v>
      </c>
      <c r="L116" s="23">
        <v>14.733333333333334</v>
      </c>
      <c r="M116" s="44">
        <v>0.57735026918962573</v>
      </c>
      <c r="N116" s="25">
        <v>421.13333333333338</v>
      </c>
      <c r="O116" s="44">
        <v>26.993579483524115</v>
      </c>
      <c r="P116" s="25">
        <v>68.042496929310289</v>
      </c>
      <c r="Q116" s="44">
        <v>44.12555164804872</v>
      </c>
      <c r="R116" s="23">
        <v>0.46754738655946088</v>
      </c>
      <c r="S116" s="35">
        <v>5</v>
      </c>
      <c r="T116" s="30">
        <v>44549</v>
      </c>
      <c r="U116" s="31">
        <v>0.55625000000000002</v>
      </c>
      <c r="V116" s="14">
        <f t="shared" si="9"/>
        <v>17</v>
      </c>
    </row>
    <row r="117" spans="1:22" x14ac:dyDescent="0.35">
      <c r="A117" t="str">
        <f t="shared" si="5"/>
        <v>ESTUDIO SEGUIMIENTO DESEMPEÑO AMBIENTAL ACUICULTURA EN CHILE Y SU EFECTO EN LOS ECOSISTEMAS DE EMPLAZAMIENTO 2021-2022</v>
      </c>
      <c r="B117" t="str">
        <f t="shared" si="6"/>
        <v>Objetivo 1. Actividad 2. Muestreos y Analisis sedimentos</v>
      </c>
      <c r="C117" t="str">
        <f t="shared" si="7"/>
        <v>Gastón Vidal</v>
      </c>
      <c r="D117" t="str">
        <f t="shared" si="8"/>
        <v>INSTITUTO DE FOMENTO PESQUERO</v>
      </c>
      <c r="E117" s="15" t="s">
        <v>37</v>
      </c>
      <c r="F117" s="16" t="s">
        <v>251</v>
      </c>
      <c r="G117" s="17">
        <v>2</v>
      </c>
      <c r="H117" s="19" t="s">
        <v>252</v>
      </c>
      <c r="I117" s="19" t="s">
        <v>253</v>
      </c>
      <c r="J117" s="23">
        <v>7.8933333333333335</v>
      </c>
      <c r="K117" s="44">
        <v>7.3711147958320219E-2</v>
      </c>
      <c r="L117" s="23">
        <v>13.833333333333334</v>
      </c>
      <c r="M117" s="44">
        <v>0.85049005481153894</v>
      </c>
      <c r="N117" s="25">
        <v>466.56666666666661</v>
      </c>
      <c r="O117" s="44">
        <v>14.595318884263312</v>
      </c>
      <c r="P117" s="25" t="s">
        <v>336</v>
      </c>
      <c r="Q117" s="42"/>
      <c r="R117" s="23">
        <v>0.55952783888984026</v>
      </c>
      <c r="S117" s="23">
        <v>3.5</v>
      </c>
      <c r="T117" s="30">
        <v>44544</v>
      </c>
      <c r="U117" s="31">
        <v>0.46875</v>
      </c>
      <c r="V117" s="14">
        <f t="shared" si="9"/>
        <v>2</v>
      </c>
    </row>
    <row r="118" spans="1:22" x14ac:dyDescent="0.35">
      <c r="A118" t="str">
        <f t="shared" si="5"/>
        <v>ESTUDIO SEGUIMIENTO DESEMPEÑO AMBIENTAL ACUICULTURA EN CHILE Y SU EFECTO EN LOS ECOSISTEMAS DE EMPLAZAMIENTO 2021-2022</v>
      </c>
      <c r="B118" t="str">
        <f t="shared" si="6"/>
        <v>Objetivo 1. Actividad 2. Muestreos y Analisis sedimentos</v>
      </c>
      <c r="C118" t="str">
        <f t="shared" si="7"/>
        <v>Gastón Vidal</v>
      </c>
      <c r="D118" t="str">
        <f t="shared" si="8"/>
        <v>INSTITUTO DE FOMENTO PESQUERO</v>
      </c>
      <c r="E118" s="15" t="s">
        <v>37</v>
      </c>
      <c r="F118" s="16" t="s">
        <v>251</v>
      </c>
      <c r="G118" s="17">
        <v>4</v>
      </c>
      <c r="H118" s="19" t="s">
        <v>254</v>
      </c>
      <c r="I118" s="19" t="s">
        <v>255</v>
      </c>
      <c r="J118" s="23">
        <v>7.5</v>
      </c>
      <c r="K118" s="44">
        <v>8.1853527718724492E-2</v>
      </c>
      <c r="L118" s="23">
        <v>12.1</v>
      </c>
      <c r="M118" s="44">
        <v>0.45825756949558411</v>
      </c>
      <c r="N118" s="25">
        <v>597.86666666666667</v>
      </c>
      <c r="O118" s="44">
        <v>30.072800556870842</v>
      </c>
      <c r="P118" s="25">
        <v>60.295435336257832</v>
      </c>
      <c r="Q118" s="42">
        <v>71.604920134616094</v>
      </c>
      <c r="R118" s="23">
        <v>1.3016466448580084</v>
      </c>
      <c r="S118" s="23">
        <v>6</v>
      </c>
      <c r="T118" s="30">
        <v>44544</v>
      </c>
      <c r="U118" s="31">
        <v>0.40972222222222227</v>
      </c>
      <c r="V118" s="14">
        <f t="shared" si="9"/>
        <v>4</v>
      </c>
    </row>
    <row r="119" spans="1:22" x14ac:dyDescent="0.35">
      <c r="A119" t="str">
        <f t="shared" si="5"/>
        <v>ESTUDIO SEGUIMIENTO DESEMPEÑO AMBIENTAL ACUICULTURA EN CHILE Y SU EFECTO EN LOS ECOSISTEMAS DE EMPLAZAMIENTO 2021-2022</v>
      </c>
      <c r="B119" t="str">
        <f t="shared" si="6"/>
        <v>Objetivo 1. Actividad 2. Muestreos y Analisis sedimentos</v>
      </c>
      <c r="C119" t="str">
        <f t="shared" si="7"/>
        <v>Gastón Vidal</v>
      </c>
      <c r="D119" t="str">
        <f t="shared" si="8"/>
        <v>INSTITUTO DE FOMENTO PESQUERO</v>
      </c>
      <c r="E119" s="15" t="s">
        <v>37</v>
      </c>
      <c r="F119" s="16" t="s">
        <v>251</v>
      </c>
      <c r="G119" s="17">
        <v>5</v>
      </c>
      <c r="H119" s="19" t="s">
        <v>256</v>
      </c>
      <c r="I119" s="19" t="s">
        <v>257</v>
      </c>
      <c r="J119" s="23">
        <v>7.7766666666666664</v>
      </c>
      <c r="K119" s="44">
        <v>0.15307950004273388</v>
      </c>
      <c r="L119" s="23">
        <v>13.699999999999998</v>
      </c>
      <c r="M119" s="44">
        <v>0.29999999999999982</v>
      </c>
      <c r="N119" s="25">
        <v>538.86666666666667</v>
      </c>
      <c r="O119" s="44">
        <v>27.540031469359892</v>
      </c>
      <c r="P119" s="25" t="s">
        <v>336</v>
      </c>
      <c r="Q119" s="42"/>
      <c r="R119" s="23">
        <v>1.3606082719333419</v>
      </c>
      <c r="S119" s="23">
        <v>3</v>
      </c>
      <c r="T119" s="30">
        <v>44544</v>
      </c>
      <c r="U119" s="31">
        <v>0.37152777777777773</v>
      </c>
      <c r="V119" s="14">
        <f t="shared" si="9"/>
        <v>5</v>
      </c>
    </row>
    <row r="120" spans="1:22" x14ac:dyDescent="0.35">
      <c r="A120" t="str">
        <f t="shared" si="5"/>
        <v>ESTUDIO SEGUIMIENTO DESEMPEÑO AMBIENTAL ACUICULTURA EN CHILE Y SU EFECTO EN LOS ECOSISTEMAS DE EMPLAZAMIENTO 2021-2022</v>
      </c>
      <c r="B120" t="str">
        <f t="shared" si="6"/>
        <v>Objetivo 1. Actividad 2. Muestreos y Analisis sedimentos</v>
      </c>
      <c r="C120" t="str">
        <f t="shared" si="7"/>
        <v>Gastón Vidal</v>
      </c>
      <c r="D120" t="str">
        <f t="shared" si="8"/>
        <v>INSTITUTO DE FOMENTO PESQUERO</v>
      </c>
      <c r="E120" s="15" t="s">
        <v>37</v>
      </c>
      <c r="F120" s="16" t="s">
        <v>251</v>
      </c>
      <c r="G120" s="17">
        <v>12</v>
      </c>
      <c r="H120" s="19" t="s">
        <v>258</v>
      </c>
      <c r="I120" s="19" t="s">
        <v>259</v>
      </c>
      <c r="J120" s="23">
        <v>7.0733333333333341</v>
      </c>
      <c r="K120" s="44">
        <v>0.11718930554164615</v>
      </c>
      <c r="L120" s="23">
        <v>12.933333333333332</v>
      </c>
      <c r="M120" s="44">
        <v>0.32145502536643233</v>
      </c>
      <c r="N120" s="25">
        <v>233.56666666666669</v>
      </c>
      <c r="O120" s="44">
        <v>101.23943566285485</v>
      </c>
      <c r="P120" s="25">
        <v>246.30253512020022</v>
      </c>
      <c r="Q120" s="44">
        <v>91.211594102663867</v>
      </c>
      <c r="R120" s="23">
        <v>2.5851777022683549</v>
      </c>
      <c r="S120" s="23">
        <v>5</v>
      </c>
      <c r="T120" s="30">
        <v>44548</v>
      </c>
      <c r="U120" s="31">
        <v>0.3923611111111111</v>
      </c>
      <c r="V120" s="14">
        <f t="shared" si="9"/>
        <v>12</v>
      </c>
    </row>
    <row r="121" spans="1:22" x14ac:dyDescent="0.35">
      <c r="A121" t="str">
        <f t="shared" si="5"/>
        <v>ESTUDIO SEGUIMIENTO DESEMPEÑO AMBIENTAL ACUICULTURA EN CHILE Y SU EFECTO EN LOS ECOSISTEMAS DE EMPLAZAMIENTO 2021-2022</v>
      </c>
      <c r="B121" t="str">
        <f t="shared" si="6"/>
        <v>Objetivo 1. Actividad 2. Muestreos y Analisis sedimentos</v>
      </c>
      <c r="C121" t="str">
        <f t="shared" si="7"/>
        <v>Gastón Vidal</v>
      </c>
      <c r="D121" t="str">
        <f t="shared" si="8"/>
        <v>INSTITUTO DE FOMENTO PESQUERO</v>
      </c>
      <c r="E121" s="15" t="s">
        <v>37</v>
      </c>
      <c r="F121" s="16" t="s">
        <v>251</v>
      </c>
      <c r="G121" s="17">
        <v>13</v>
      </c>
      <c r="H121" s="19" t="s">
        <v>260</v>
      </c>
      <c r="I121" s="19" t="s">
        <v>261</v>
      </c>
      <c r="J121" s="23">
        <v>7.3033333333333337</v>
      </c>
      <c r="K121" s="44">
        <v>3.5118845842842597E-2</v>
      </c>
      <c r="L121" s="23">
        <v>12.533333333333333</v>
      </c>
      <c r="M121" s="44">
        <v>0.15275252316519414</v>
      </c>
      <c r="N121" s="25">
        <v>432.36666666666662</v>
      </c>
      <c r="O121" s="44">
        <v>65.334243190943994</v>
      </c>
      <c r="P121" s="25">
        <v>117.98901989612466</v>
      </c>
      <c r="Q121" s="44">
        <v>57.18893030650095</v>
      </c>
      <c r="R121" s="23">
        <v>1.8951079770824346</v>
      </c>
      <c r="S121" s="23">
        <v>5</v>
      </c>
      <c r="T121" s="30">
        <v>44548</v>
      </c>
      <c r="U121" s="31">
        <v>0.42708333333333331</v>
      </c>
      <c r="V121" s="14">
        <f t="shared" si="9"/>
        <v>13</v>
      </c>
    </row>
    <row r="122" spans="1:22" x14ac:dyDescent="0.35">
      <c r="A122" t="str">
        <f t="shared" si="5"/>
        <v>ESTUDIO SEGUIMIENTO DESEMPEÑO AMBIENTAL ACUICULTURA EN CHILE Y SU EFECTO EN LOS ECOSISTEMAS DE EMPLAZAMIENTO 2021-2022</v>
      </c>
      <c r="B122" t="str">
        <f t="shared" si="6"/>
        <v>Objetivo 1. Actividad 2. Muestreos y Analisis sedimentos</v>
      </c>
      <c r="C122" t="str">
        <f t="shared" si="7"/>
        <v>Gastón Vidal</v>
      </c>
      <c r="D122" t="str">
        <f t="shared" si="8"/>
        <v>INSTITUTO DE FOMENTO PESQUERO</v>
      </c>
      <c r="E122" s="15" t="s">
        <v>37</v>
      </c>
      <c r="F122" s="16" t="s">
        <v>251</v>
      </c>
      <c r="G122" s="17">
        <v>14</v>
      </c>
      <c r="H122" s="19" t="s">
        <v>262</v>
      </c>
      <c r="I122" s="19" t="s">
        <v>263</v>
      </c>
      <c r="J122" s="23">
        <v>7.416666666666667</v>
      </c>
      <c r="K122" s="44">
        <v>0.12741009902410966</v>
      </c>
      <c r="L122" s="23">
        <v>12.5</v>
      </c>
      <c r="M122" s="44">
        <v>0.17320508075688709</v>
      </c>
      <c r="N122" s="25">
        <v>328.73333333333335</v>
      </c>
      <c r="O122" s="44">
        <v>47.585747165861761</v>
      </c>
      <c r="P122" s="25">
        <v>148.40588695361296</v>
      </c>
      <c r="Q122" s="42">
        <v>64.289721958844467</v>
      </c>
      <c r="R122" s="23">
        <v>2.0445908650859108</v>
      </c>
      <c r="S122" s="23">
        <v>5.5</v>
      </c>
      <c r="T122" s="30">
        <v>44548</v>
      </c>
      <c r="U122" s="31">
        <v>0.47916666666666669</v>
      </c>
      <c r="V122" s="14">
        <f t="shared" si="9"/>
        <v>14</v>
      </c>
    </row>
    <row r="123" spans="1:22" x14ac:dyDescent="0.35">
      <c r="A123" t="str">
        <f t="shared" si="5"/>
        <v>ESTUDIO SEGUIMIENTO DESEMPEÑO AMBIENTAL ACUICULTURA EN CHILE Y SU EFECTO EN LOS ECOSISTEMAS DE EMPLAZAMIENTO 2021-2022</v>
      </c>
      <c r="B123" t="str">
        <f t="shared" si="6"/>
        <v>Objetivo 1. Actividad 2. Muestreos y Analisis sedimentos</v>
      </c>
      <c r="C123" t="str">
        <f t="shared" si="7"/>
        <v>Gastón Vidal</v>
      </c>
      <c r="D123" t="str">
        <f t="shared" si="8"/>
        <v>INSTITUTO DE FOMENTO PESQUERO</v>
      </c>
      <c r="E123" s="15" t="s">
        <v>37</v>
      </c>
      <c r="F123" s="16" t="s">
        <v>251</v>
      </c>
      <c r="G123" s="17">
        <v>16</v>
      </c>
      <c r="H123" s="19" t="s">
        <v>264</v>
      </c>
      <c r="I123" s="19" t="s">
        <v>265</v>
      </c>
      <c r="J123" s="23">
        <v>7.29</v>
      </c>
      <c r="K123" s="44">
        <v>0.19672315572905988</v>
      </c>
      <c r="L123" s="23">
        <v>13.166666666666666</v>
      </c>
      <c r="M123" s="44">
        <v>0.30550504633038922</v>
      </c>
      <c r="N123" s="25">
        <v>49.433333333333337</v>
      </c>
      <c r="O123" s="44">
        <v>39.943752118865014</v>
      </c>
      <c r="P123" s="25">
        <v>261.79546792723585</v>
      </c>
      <c r="Q123" s="44">
        <v>62.357398621182185</v>
      </c>
      <c r="R123" s="23">
        <v>7.5069570210697991</v>
      </c>
      <c r="S123" s="23">
        <v>5</v>
      </c>
      <c r="T123" s="30">
        <v>44548</v>
      </c>
      <c r="U123" s="31">
        <v>0.55555555555555558</v>
      </c>
      <c r="V123" s="14">
        <f t="shared" si="9"/>
        <v>16</v>
      </c>
    </row>
    <row r="124" spans="1:22" x14ac:dyDescent="0.35">
      <c r="A124" t="str">
        <f t="shared" si="5"/>
        <v>ESTUDIO SEGUIMIENTO DESEMPEÑO AMBIENTAL ACUICULTURA EN CHILE Y SU EFECTO EN LOS ECOSISTEMAS DE EMPLAZAMIENTO 2021-2022</v>
      </c>
      <c r="B124" t="str">
        <f t="shared" si="6"/>
        <v>Objetivo 1. Actividad 2. Muestreos y Analisis sedimentos</v>
      </c>
      <c r="C124" t="str">
        <f t="shared" si="7"/>
        <v>Gastón Vidal</v>
      </c>
      <c r="D124" t="str">
        <f t="shared" si="8"/>
        <v>INSTITUTO DE FOMENTO PESQUERO</v>
      </c>
      <c r="E124" s="15" t="s">
        <v>37</v>
      </c>
      <c r="F124" s="16" t="s">
        <v>251</v>
      </c>
      <c r="G124" s="17">
        <v>17</v>
      </c>
      <c r="H124" s="19" t="s">
        <v>266</v>
      </c>
      <c r="I124" s="19" t="s">
        <v>267</v>
      </c>
      <c r="J124" s="23">
        <v>7.7133333333333338</v>
      </c>
      <c r="K124" s="44">
        <v>0.2581343319539911</v>
      </c>
      <c r="L124" s="23">
        <v>13.5</v>
      </c>
      <c r="M124" s="44">
        <v>0.26457513110645914</v>
      </c>
      <c r="N124" s="25">
        <v>306.26666666666665</v>
      </c>
      <c r="O124" s="44">
        <v>8.9029957504950783</v>
      </c>
      <c r="P124" s="25">
        <v>68.042496929310289</v>
      </c>
      <c r="Q124" s="42">
        <v>44.12555164804872</v>
      </c>
      <c r="R124" s="23">
        <v>0.85494296088380461</v>
      </c>
      <c r="S124" s="23">
        <v>5</v>
      </c>
      <c r="T124" s="30">
        <v>44549</v>
      </c>
      <c r="U124" s="31">
        <v>0.63541666666666663</v>
      </c>
      <c r="V124" s="14">
        <f t="shared" si="9"/>
        <v>17</v>
      </c>
    </row>
    <row r="125" spans="1:22" x14ac:dyDescent="0.35">
      <c r="A125" t="str">
        <f t="shared" si="5"/>
        <v>ESTUDIO SEGUIMIENTO DESEMPEÑO AMBIENTAL ACUICULTURA EN CHILE Y SU EFECTO EN LOS ECOSISTEMAS DE EMPLAZAMIENTO 2021-2022</v>
      </c>
      <c r="B125" t="str">
        <f t="shared" si="6"/>
        <v>Objetivo 1. Actividad 2. Muestreos y Analisis sedimentos</v>
      </c>
      <c r="C125" t="str">
        <f t="shared" si="7"/>
        <v>Gastón Vidal</v>
      </c>
      <c r="D125" t="str">
        <f t="shared" si="8"/>
        <v>INSTITUTO DE FOMENTO PESQUERO</v>
      </c>
      <c r="E125" s="15" t="s">
        <v>37</v>
      </c>
      <c r="F125" s="16" t="s">
        <v>251</v>
      </c>
      <c r="G125" s="17">
        <v>19</v>
      </c>
      <c r="H125" s="19" t="s">
        <v>268</v>
      </c>
      <c r="I125" s="19" t="s">
        <v>269</v>
      </c>
      <c r="J125" s="23">
        <v>7.4633333333333338</v>
      </c>
      <c r="K125" s="44">
        <v>0.11930353445448834</v>
      </c>
      <c r="L125" s="23">
        <v>12</v>
      </c>
      <c r="M125" s="44">
        <v>0.87177978870813466</v>
      </c>
      <c r="N125" s="25">
        <v>516.23333333333323</v>
      </c>
      <c r="O125" s="44">
        <v>20.801282011773534</v>
      </c>
      <c r="P125" s="25">
        <v>123.03806802496479</v>
      </c>
      <c r="Q125" s="42">
        <v>31.634950101287977</v>
      </c>
      <c r="R125" s="23">
        <v>1.2649725736034776</v>
      </c>
      <c r="S125" s="23">
        <v>4</v>
      </c>
      <c r="T125" s="30">
        <v>44520</v>
      </c>
      <c r="U125" s="31">
        <v>0.3923611111111111</v>
      </c>
      <c r="V125" s="14">
        <f t="shared" si="9"/>
        <v>19</v>
      </c>
    </row>
    <row r="126" spans="1:22" x14ac:dyDescent="0.35">
      <c r="A126" t="str">
        <f t="shared" si="5"/>
        <v>ESTUDIO SEGUIMIENTO DESEMPEÑO AMBIENTAL ACUICULTURA EN CHILE Y SU EFECTO EN LOS ECOSISTEMAS DE EMPLAZAMIENTO 2021-2022</v>
      </c>
      <c r="B126" t="str">
        <f t="shared" si="6"/>
        <v>Objetivo 1. Actividad 2. Muestreos y Analisis sedimentos</v>
      </c>
      <c r="C126" t="str">
        <f t="shared" si="7"/>
        <v>Gastón Vidal</v>
      </c>
      <c r="D126" t="str">
        <f t="shared" si="8"/>
        <v>INSTITUTO DE FOMENTO PESQUERO</v>
      </c>
      <c r="E126" s="15" t="s">
        <v>37</v>
      </c>
      <c r="F126" s="16" t="s">
        <v>251</v>
      </c>
      <c r="G126" s="17">
        <v>25</v>
      </c>
      <c r="H126" s="19" t="s">
        <v>270</v>
      </c>
      <c r="I126" s="19" t="s">
        <v>271</v>
      </c>
      <c r="J126" s="23">
        <v>7.7266666666666666</v>
      </c>
      <c r="K126" s="44">
        <v>6.1101009266077921E-2</v>
      </c>
      <c r="L126" s="23">
        <v>13.266666666666666</v>
      </c>
      <c r="M126" s="44">
        <v>0.40414518843273767</v>
      </c>
      <c r="N126" s="25">
        <v>571.80000000000007</v>
      </c>
      <c r="O126" s="44">
        <v>42.034747531060532</v>
      </c>
      <c r="P126" s="25">
        <v>433.95290636718727</v>
      </c>
      <c r="Q126" s="42">
        <v>153.57709787748931</v>
      </c>
      <c r="R126" s="23">
        <v>0.73999541483047093</v>
      </c>
      <c r="S126" s="23">
        <v>6.5</v>
      </c>
      <c r="T126" s="30">
        <v>44532</v>
      </c>
      <c r="U126" s="31">
        <v>0.70486111111111116</v>
      </c>
      <c r="V126" s="14">
        <f t="shared" si="9"/>
        <v>25</v>
      </c>
    </row>
    <row r="127" spans="1:22" x14ac:dyDescent="0.35">
      <c r="A127" t="str">
        <f t="shared" si="5"/>
        <v>ESTUDIO SEGUIMIENTO DESEMPEÑO AMBIENTAL ACUICULTURA EN CHILE Y SU EFECTO EN LOS ECOSISTEMAS DE EMPLAZAMIENTO 2021-2022</v>
      </c>
      <c r="B127" t="str">
        <f t="shared" si="6"/>
        <v>Objetivo 1. Actividad 2. Muestreos y Analisis sedimentos</v>
      </c>
      <c r="C127" t="str">
        <f t="shared" si="7"/>
        <v>Gastón Vidal</v>
      </c>
      <c r="D127" t="str">
        <f t="shared" si="8"/>
        <v>INSTITUTO DE FOMENTO PESQUERO</v>
      </c>
      <c r="E127" s="15" t="s">
        <v>37</v>
      </c>
      <c r="F127" s="16" t="s">
        <v>251</v>
      </c>
      <c r="G127" s="17">
        <v>31</v>
      </c>
      <c r="H127" s="19" t="s">
        <v>272</v>
      </c>
      <c r="I127" s="19" t="s">
        <v>273</v>
      </c>
      <c r="J127" s="23">
        <v>7.5133333333333328</v>
      </c>
      <c r="K127" s="44">
        <v>4.9328828623162443E-2</v>
      </c>
      <c r="L127" s="23">
        <v>12.366666666666665</v>
      </c>
      <c r="M127" s="44">
        <v>0.15275252316519508</v>
      </c>
      <c r="N127" s="25">
        <v>557.36666666666667</v>
      </c>
      <c r="O127" s="44">
        <v>38.969261390656776</v>
      </c>
      <c r="P127" s="25">
        <v>78.914436419123888</v>
      </c>
      <c r="Q127" s="42">
        <v>95.653277958435893</v>
      </c>
      <c r="R127" s="23">
        <v>0.96917249652903359</v>
      </c>
      <c r="S127" s="23">
        <v>3</v>
      </c>
      <c r="T127" s="30">
        <v>44533</v>
      </c>
      <c r="U127" s="31">
        <v>0.61249999999999993</v>
      </c>
      <c r="V127" s="14">
        <f t="shared" si="9"/>
        <v>31</v>
      </c>
    </row>
    <row r="128" spans="1:22" x14ac:dyDescent="0.35">
      <c r="A128" t="str">
        <f t="shared" si="5"/>
        <v>ESTUDIO SEGUIMIENTO DESEMPEÑO AMBIENTAL ACUICULTURA EN CHILE Y SU EFECTO EN LOS ECOSISTEMAS DE EMPLAZAMIENTO 2021-2022</v>
      </c>
      <c r="B128" t="str">
        <f t="shared" si="6"/>
        <v>Objetivo 1. Actividad 2. Muestreos y Analisis sedimentos</v>
      </c>
      <c r="C128" t="str">
        <f t="shared" si="7"/>
        <v>Gastón Vidal</v>
      </c>
      <c r="D128" t="str">
        <f t="shared" si="8"/>
        <v>INSTITUTO DE FOMENTO PESQUERO</v>
      </c>
      <c r="E128" s="15" t="s">
        <v>37</v>
      </c>
      <c r="F128" s="16" t="s">
        <v>251</v>
      </c>
      <c r="G128" s="17">
        <v>32</v>
      </c>
      <c r="H128" s="19" t="s">
        <v>274</v>
      </c>
      <c r="I128" s="19" t="s">
        <v>275</v>
      </c>
      <c r="J128" s="23">
        <v>7.7966666666666669</v>
      </c>
      <c r="K128" s="44">
        <v>0.16165807537309496</v>
      </c>
      <c r="L128" s="23">
        <v>14.966666666666669</v>
      </c>
      <c r="M128" s="44">
        <v>0.20816659994661252</v>
      </c>
      <c r="N128" s="25">
        <v>429.93333333333334</v>
      </c>
      <c r="O128" s="44">
        <v>16.364697777023974</v>
      </c>
      <c r="P128" s="25" t="s">
        <v>336</v>
      </c>
      <c r="Q128" s="42"/>
      <c r="R128" s="23">
        <v>1.5555312503797698</v>
      </c>
      <c r="S128" s="23">
        <v>3.5</v>
      </c>
      <c r="T128" s="30">
        <v>44535</v>
      </c>
      <c r="U128" s="31">
        <v>0.60416666666666663</v>
      </c>
      <c r="V128" s="14">
        <f t="shared" si="9"/>
        <v>32</v>
      </c>
    </row>
    <row r="129" spans="1:22" x14ac:dyDescent="0.35">
      <c r="A129" t="str">
        <f t="shared" si="5"/>
        <v>ESTUDIO SEGUIMIENTO DESEMPEÑO AMBIENTAL ACUICULTURA EN CHILE Y SU EFECTO EN LOS ECOSISTEMAS DE EMPLAZAMIENTO 2021-2022</v>
      </c>
      <c r="B129" t="str">
        <f t="shared" si="6"/>
        <v>Objetivo 1. Actividad 2. Muestreos y Analisis sedimentos</v>
      </c>
      <c r="C129" t="str">
        <f t="shared" si="7"/>
        <v>Gastón Vidal</v>
      </c>
      <c r="D129" t="str">
        <f t="shared" si="8"/>
        <v>INSTITUTO DE FOMENTO PESQUERO</v>
      </c>
      <c r="E129" s="15" t="s">
        <v>37</v>
      </c>
      <c r="F129" s="16" t="s">
        <v>276</v>
      </c>
      <c r="G129" s="17">
        <v>5</v>
      </c>
      <c r="H129" s="19" t="s">
        <v>277</v>
      </c>
      <c r="I129" s="19" t="s">
        <v>278</v>
      </c>
      <c r="J129" s="23">
        <v>7.7100000000000009</v>
      </c>
      <c r="K129" s="44">
        <v>7.8102496759066414E-2</v>
      </c>
      <c r="L129" s="23">
        <v>13.566666666666668</v>
      </c>
      <c r="M129" s="44">
        <v>0.55075705472861003</v>
      </c>
      <c r="N129" s="25">
        <v>504.56666666666666</v>
      </c>
      <c r="O129" s="44">
        <v>28.860411177482085</v>
      </c>
      <c r="P129" s="25" t="s">
        <v>336</v>
      </c>
      <c r="Q129" s="44"/>
      <c r="R129" s="23">
        <v>1.7729393468118446</v>
      </c>
      <c r="S129" s="35">
        <v>5.5</v>
      </c>
      <c r="T129" s="39">
        <v>44533</v>
      </c>
      <c r="U129" s="31">
        <v>0.76736111111111116</v>
      </c>
      <c r="V129" s="14">
        <f t="shared" si="9"/>
        <v>5</v>
      </c>
    </row>
    <row r="130" spans="1:22" x14ac:dyDescent="0.35">
      <c r="A130" t="str">
        <f t="shared" si="5"/>
        <v>ESTUDIO SEGUIMIENTO DESEMPEÑO AMBIENTAL ACUICULTURA EN CHILE Y SU EFECTO EN LOS ECOSISTEMAS DE EMPLAZAMIENTO 2021-2022</v>
      </c>
      <c r="B130" t="str">
        <f t="shared" si="6"/>
        <v>Objetivo 1. Actividad 2. Muestreos y Analisis sedimentos</v>
      </c>
      <c r="C130" t="str">
        <f t="shared" si="7"/>
        <v>Gastón Vidal</v>
      </c>
      <c r="D130" t="str">
        <f t="shared" si="8"/>
        <v>INSTITUTO DE FOMENTO PESQUERO</v>
      </c>
      <c r="E130" s="15" t="s">
        <v>37</v>
      </c>
      <c r="F130" s="16" t="s">
        <v>276</v>
      </c>
      <c r="G130" s="17">
        <v>7</v>
      </c>
      <c r="H130" s="19" t="s">
        <v>279</v>
      </c>
      <c r="I130" s="19" t="s">
        <v>280</v>
      </c>
      <c r="J130" s="23">
        <v>7.4866666666666672</v>
      </c>
      <c r="K130" s="44">
        <v>6.5064070986477068E-2</v>
      </c>
      <c r="L130" s="23">
        <v>12.9</v>
      </c>
      <c r="M130" s="44">
        <v>0.34641016151377629</v>
      </c>
      <c r="N130" s="25">
        <v>462.73333333333329</v>
      </c>
      <c r="O130" s="44">
        <v>38.488223307049843</v>
      </c>
      <c r="P130" s="25">
        <v>101.90815844857887</v>
      </c>
      <c r="Q130" s="42">
        <v>92.147411425347684</v>
      </c>
      <c r="R130" s="23">
        <v>1.5957370409203913</v>
      </c>
      <c r="S130" s="35">
        <v>3.5</v>
      </c>
      <c r="T130" s="39">
        <v>44534</v>
      </c>
      <c r="U130" s="31">
        <v>0.51388888888888895</v>
      </c>
      <c r="V130" s="14">
        <f t="shared" si="9"/>
        <v>7</v>
      </c>
    </row>
    <row r="131" spans="1:22" x14ac:dyDescent="0.35">
      <c r="A131" t="str">
        <f t="shared" si="5"/>
        <v>ESTUDIO SEGUIMIENTO DESEMPEÑO AMBIENTAL ACUICULTURA EN CHILE Y SU EFECTO EN LOS ECOSISTEMAS DE EMPLAZAMIENTO 2021-2022</v>
      </c>
      <c r="B131" t="str">
        <f t="shared" si="6"/>
        <v>Objetivo 1. Actividad 2. Muestreos y Analisis sedimentos</v>
      </c>
      <c r="C131" t="str">
        <f t="shared" si="7"/>
        <v>Gastón Vidal</v>
      </c>
      <c r="D131" t="str">
        <f t="shared" si="8"/>
        <v>INSTITUTO DE FOMENTO PESQUERO</v>
      </c>
      <c r="E131" s="15" t="s">
        <v>37</v>
      </c>
      <c r="F131" s="16" t="s">
        <v>276</v>
      </c>
      <c r="G131" s="17">
        <v>8</v>
      </c>
      <c r="H131" s="19" t="s">
        <v>281</v>
      </c>
      <c r="I131" s="19" t="s">
        <v>282</v>
      </c>
      <c r="J131" s="23">
        <v>7.59</v>
      </c>
      <c r="K131" s="44">
        <v>0.19467922333931756</v>
      </c>
      <c r="L131" s="23">
        <v>17.400000000000002</v>
      </c>
      <c r="M131" s="44">
        <v>0.65574385243020039</v>
      </c>
      <c r="N131" s="25">
        <v>408.59999999999997</v>
      </c>
      <c r="O131" s="44">
        <v>81.761665834301951</v>
      </c>
      <c r="P131" s="25">
        <v>319.58264462724475</v>
      </c>
      <c r="Q131" s="44">
        <v>86.600136070998815</v>
      </c>
      <c r="R131" s="23">
        <v>1.2048357166248265</v>
      </c>
      <c r="S131" s="35">
        <v>4</v>
      </c>
      <c r="T131" s="39">
        <v>44534</v>
      </c>
      <c r="U131" s="31">
        <v>0.63541666666666663</v>
      </c>
      <c r="V131" s="14">
        <f t="shared" si="9"/>
        <v>8</v>
      </c>
    </row>
    <row r="132" spans="1:22" x14ac:dyDescent="0.35">
      <c r="A132" t="str">
        <f t="shared" si="5"/>
        <v>ESTUDIO SEGUIMIENTO DESEMPEÑO AMBIENTAL ACUICULTURA EN CHILE Y SU EFECTO EN LOS ECOSISTEMAS DE EMPLAZAMIENTO 2021-2022</v>
      </c>
      <c r="B132" t="str">
        <f t="shared" si="6"/>
        <v>Objetivo 1. Actividad 2. Muestreos y Analisis sedimentos</v>
      </c>
      <c r="C132" t="str">
        <f t="shared" si="7"/>
        <v>Gastón Vidal</v>
      </c>
      <c r="D132" t="str">
        <f t="shared" si="8"/>
        <v>INSTITUTO DE FOMENTO PESQUERO</v>
      </c>
      <c r="E132" s="15" t="s">
        <v>37</v>
      </c>
      <c r="F132" s="16" t="s">
        <v>276</v>
      </c>
      <c r="G132" s="17">
        <v>10</v>
      </c>
      <c r="H132" s="19" t="s">
        <v>283</v>
      </c>
      <c r="I132" s="19" t="s">
        <v>284</v>
      </c>
      <c r="J132" s="23">
        <v>7.68</v>
      </c>
      <c r="K132" s="44">
        <v>8.9999999999999858E-2</v>
      </c>
      <c r="L132" s="23">
        <v>14.300000000000002</v>
      </c>
      <c r="M132" s="44">
        <v>1.0535653752852747</v>
      </c>
      <c r="N132" s="25">
        <v>222.4</v>
      </c>
      <c r="O132" s="44">
        <v>22.082345889873213</v>
      </c>
      <c r="P132" s="25" t="s">
        <v>336</v>
      </c>
      <c r="Q132" s="44"/>
      <c r="R132" s="23">
        <v>1.6734394401174044</v>
      </c>
      <c r="S132" s="35">
        <v>0</v>
      </c>
      <c r="T132" s="39">
        <v>44534</v>
      </c>
      <c r="U132" s="31">
        <v>0.81944444444444453</v>
      </c>
      <c r="V132" s="14">
        <f t="shared" si="9"/>
        <v>10</v>
      </c>
    </row>
    <row r="133" spans="1:22" x14ac:dyDescent="0.35">
      <c r="A133" t="str">
        <f t="shared" si="5"/>
        <v>ESTUDIO SEGUIMIENTO DESEMPEÑO AMBIENTAL ACUICULTURA EN CHILE Y SU EFECTO EN LOS ECOSISTEMAS DE EMPLAZAMIENTO 2021-2022</v>
      </c>
      <c r="B133" t="str">
        <f t="shared" si="6"/>
        <v>Objetivo 1. Actividad 2. Muestreos y Analisis sedimentos</v>
      </c>
      <c r="C133" t="str">
        <f t="shared" si="7"/>
        <v>Gastón Vidal</v>
      </c>
      <c r="D133" t="str">
        <f t="shared" si="8"/>
        <v>INSTITUTO DE FOMENTO PESQUERO</v>
      </c>
      <c r="E133" s="15" t="s">
        <v>37</v>
      </c>
      <c r="F133" s="16" t="s">
        <v>276</v>
      </c>
      <c r="G133" s="17">
        <v>12</v>
      </c>
      <c r="H133" s="19" t="s">
        <v>285</v>
      </c>
      <c r="I133" s="19" t="s">
        <v>286</v>
      </c>
      <c r="J133" s="23">
        <v>7.333333333333333</v>
      </c>
      <c r="K133" s="44">
        <v>2.0816659994661382E-2</v>
      </c>
      <c r="L133" s="23">
        <v>13.033333333333333</v>
      </c>
      <c r="M133" s="44">
        <v>0.45092497528228959</v>
      </c>
      <c r="N133" s="25">
        <v>409.4666666666667</v>
      </c>
      <c r="O133" s="44">
        <v>100.27294417405545</v>
      </c>
      <c r="P133" s="25">
        <v>625.3016433884203</v>
      </c>
      <c r="Q133" s="42">
        <v>78.217325464019339</v>
      </c>
      <c r="R133" s="23">
        <v>3.278585953386544</v>
      </c>
      <c r="S133" s="35">
        <v>3.5</v>
      </c>
      <c r="T133" s="39">
        <v>44535</v>
      </c>
      <c r="U133" s="31">
        <v>0.36805555555555558</v>
      </c>
      <c r="V133" s="14">
        <f t="shared" si="9"/>
        <v>12</v>
      </c>
    </row>
    <row r="134" spans="1:22" x14ac:dyDescent="0.35">
      <c r="A134" t="str">
        <f t="shared" si="5"/>
        <v>ESTUDIO SEGUIMIENTO DESEMPEÑO AMBIENTAL ACUICULTURA EN CHILE Y SU EFECTO EN LOS ECOSISTEMAS DE EMPLAZAMIENTO 2021-2022</v>
      </c>
      <c r="B134" t="str">
        <f t="shared" si="6"/>
        <v>Objetivo 1. Actividad 2. Muestreos y Analisis sedimentos</v>
      </c>
      <c r="C134" t="str">
        <f t="shared" si="7"/>
        <v>Gastón Vidal</v>
      </c>
      <c r="D134" t="str">
        <f t="shared" si="8"/>
        <v>INSTITUTO DE FOMENTO PESQUERO</v>
      </c>
      <c r="E134" s="15" t="s">
        <v>37</v>
      </c>
      <c r="F134" s="16" t="s">
        <v>287</v>
      </c>
      <c r="G134" s="17">
        <v>1</v>
      </c>
      <c r="H134" s="19" t="s">
        <v>288</v>
      </c>
      <c r="I134" s="19" t="s">
        <v>289</v>
      </c>
      <c r="J134" s="23">
        <v>7.5100000000000007</v>
      </c>
      <c r="K134" s="44">
        <v>2.6457513110645845E-2</v>
      </c>
      <c r="L134" s="23">
        <v>12.833333333333334</v>
      </c>
      <c r="M134" s="44">
        <v>0.32145502536643167</v>
      </c>
      <c r="N134" s="25">
        <v>104.76666666666665</v>
      </c>
      <c r="O134" s="44">
        <v>7.9431312045901272</v>
      </c>
      <c r="P134" s="25">
        <v>582.0011999247007</v>
      </c>
      <c r="Q134" s="44">
        <v>71.402467425596072</v>
      </c>
      <c r="R134" s="23">
        <v>15.990050889130321</v>
      </c>
      <c r="S134" s="19">
        <v>4</v>
      </c>
      <c r="T134" s="30">
        <v>44545</v>
      </c>
      <c r="U134" s="31">
        <v>0.61805555555555558</v>
      </c>
      <c r="V134" s="14">
        <f t="shared" si="9"/>
        <v>1</v>
      </c>
    </row>
    <row r="135" spans="1:22" x14ac:dyDescent="0.35">
      <c r="A135" t="str">
        <f t="shared" si="5"/>
        <v>ESTUDIO SEGUIMIENTO DESEMPEÑO AMBIENTAL ACUICULTURA EN CHILE Y SU EFECTO EN LOS ECOSISTEMAS DE EMPLAZAMIENTO 2021-2022</v>
      </c>
      <c r="B135" t="str">
        <f t="shared" si="6"/>
        <v>Objetivo 1. Actividad 2. Muestreos y Analisis sedimentos</v>
      </c>
      <c r="C135" t="str">
        <f t="shared" si="7"/>
        <v>Gastón Vidal</v>
      </c>
      <c r="D135" t="str">
        <f t="shared" si="8"/>
        <v>INSTITUTO DE FOMENTO PESQUERO</v>
      </c>
      <c r="E135" s="15" t="s">
        <v>37</v>
      </c>
      <c r="F135" s="16" t="s">
        <v>287</v>
      </c>
      <c r="G135" s="17">
        <v>3</v>
      </c>
      <c r="H135" s="19" t="s">
        <v>290</v>
      </c>
      <c r="I135" s="19" t="s">
        <v>291</v>
      </c>
      <c r="J135" s="23">
        <v>7.97</v>
      </c>
      <c r="K135" s="44">
        <v>3.6055512754639613E-2</v>
      </c>
      <c r="L135" s="23">
        <v>12.433333333333332</v>
      </c>
      <c r="M135" s="44">
        <v>0.15275252316519414</v>
      </c>
      <c r="N135" s="25">
        <v>416.83333333333331</v>
      </c>
      <c r="O135" s="44">
        <v>19.014818782553071</v>
      </c>
      <c r="P135" s="25" t="s">
        <v>336</v>
      </c>
      <c r="Q135" s="42"/>
      <c r="R135" s="23">
        <v>2.3697495816827225</v>
      </c>
      <c r="S135" s="19">
        <v>3.5</v>
      </c>
      <c r="T135" s="30">
        <v>44544</v>
      </c>
      <c r="U135" s="31">
        <v>0.77777777777777779</v>
      </c>
      <c r="V135" s="14">
        <f t="shared" si="9"/>
        <v>3</v>
      </c>
    </row>
    <row r="136" spans="1:22" x14ac:dyDescent="0.35">
      <c r="A136" t="str">
        <f t="shared" si="5"/>
        <v>ESTUDIO SEGUIMIENTO DESEMPEÑO AMBIENTAL ACUICULTURA EN CHILE Y SU EFECTO EN LOS ECOSISTEMAS DE EMPLAZAMIENTO 2021-2022</v>
      </c>
      <c r="B136" t="str">
        <f t="shared" si="6"/>
        <v>Objetivo 1. Actividad 2. Muestreos y Analisis sedimentos</v>
      </c>
      <c r="C136" t="str">
        <f t="shared" si="7"/>
        <v>Gastón Vidal</v>
      </c>
      <c r="D136" t="str">
        <f t="shared" si="8"/>
        <v>INSTITUTO DE FOMENTO PESQUERO</v>
      </c>
      <c r="E136" s="15" t="s">
        <v>37</v>
      </c>
      <c r="F136" s="16" t="s">
        <v>287</v>
      </c>
      <c r="G136" s="17">
        <v>5</v>
      </c>
      <c r="H136" s="19" t="s">
        <v>292</v>
      </c>
      <c r="I136" s="19" t="s">
        <v>293</v>
      </c>
      <c r="J136" s="23">
        <v>7.4933333333333332</v>
      </c>
      <c r="K136" s="44">
        <v>4.0414518843273822E-2</v>
      </c>
      <c r="L136" s="23">
        <v>15.866666666666667</v>
      </c>
      <c r="M136" s="44">
        <v>1.5044378795195685</v>
      </c>
      <c r="N136" s="25">
        <v>491.23333333333335</v>
      </c>
      <c r="O136" s="44">
        <v>32.354494793356501</v>
      </c>
      <c r="P136" s="25" t="s">
        <v>336</v>
      </c>
      <c r="Q136" s="42"/>
      <c r="R136" s="23">
        <v>1.3208598631712458</v>
      </c>
      <c r="S136" s="19">
        <v>4.5</v>
      </c>
      <c r="T136" s="30">
        <v>44536</v>
      </c>
      <c r="U136" s="31">
        <v>0.65277777777777779</v>
      </c>
      <c r="V136" s="14">
        <f t="shared" si="9"/>
        <v>5</v>
      </c>
    </row>
    <row r="137" spans="1:22" x14ac:dyDescent="0.35">
      <c r="A137" t="str">
        <f t="shared" si="5"/>
        <v>ESTUDIO SEGUIMIENTO DESEMPEÑO AMBIENTAL ACUICULTURA EN CHILE Y SU EFECTO EN LOS ECOSISTEMAS DE EMPLAZAMIENTO 2021-2022</v>
      </c>
      <c r="B137" t="str">
        <f t="shared" si="6"/>
        <v>Objetivo 1. Actividad 2. Muestreos y Analisis sedimentos</v>
      </c>
      <c r="C137" t="str">
        <f t="shared" si="7"/>
        <v>Gastón Vidal</v>
      </c>
      <c r="D137" t="str">
        <f t="shared" si="8"/>
        <v>INSTITUTO DE FOMENTO PESQUERO</v>
      </c>
      <c r="E137" s="15" t="s">
        <v>37</v>
      </c>
      <c r="F137" s="16" t="s">
        <v>287</v>
      </c>
      <c r="G137" s="17">
        <v>6</v>
      </c>
      <c r="H137" s="19" t="s">
        <v>294</v>
      </c>
      <c r="I137" s="19" t="s">
        <v>295</v>
      </c>
      <c r="J137" s="23">
        <v>7.31</v>
      </c>
      <c r="K137" s="44">
        <v>0.15394804318340682</v>
      </c>
      <c r="L137" s="23">
        <v>12.600000000000001</v>
      </c>
      <c r="M137" s="44">
        <v>0.20000000000000018</v>
      </c>
      <c r="N137" s="25">
        <v>499.16666666666669</v>
      </c>
      <c r="O137" s="44">
        <v>6.9514986393822635</v>
      </c>
      <c r="P137" s="25">
        <v>651.44064992526899</v>
      </c>
      <c r="Q137" s="42">
        <v>1096.3668181633932</v>
      </c>
      <c r="R137" s="23">
        <v>1.2947428404829067</v>
      </c>
      <c r="S137" s="19">
        <v>4.5</v>
      </c>
      <c r="T137" s="30">
        <v>44536</v>
      </c>
      <c r="U137" s="31">
        <v>0.81944444444444453</v>
      </c>
      <c r="V137" s="14">
        <f t="shared" si="9"/>
        <v>6</v>
      </c>
    </row>
    <row r="138" spans="1:22" x14ac:dyDescent="0.35">
      <c r="A138" t="str">
        <f t="shared" si="5"/>
        <v>ESTUDIO SEGUIMIENTO DESEMPEÑO AMBIENTAL ACUICULTURA EN CHILE Y SU EFECTO EN LOS ECOSISTEMAS DE EMPLAZAMIENTO 2021-2022</v>
      </c>
      <c r="B138" t="str">
        <f t="shared" si="6"/>
        <v>Objetivo 1. Actividad 2. Muestreos y Analisis sedimentos</v>
      </c>
      <c r="C138" t="str">
        <f t="shared" si="7"/>
        <v>Gastón Vidal</v>
      </c>
      <c r="D138" t="str">
        <f t="shared" si="8"/>
        <v>INSTITUTO DE FOMENTO PESQUERO</v>
      </c>
      <c r="E138" s="15" t="s">
        <v>37</v>
      </c>
      <c r="F138" s="16" t="s">
        <v>287</v>
      </c>
      <c r="G138" s="17">
        <v>7</v>
      </c>
      <c r="H138" s="19" t="s">
        <v>296</v>
      </c>
      <c r="I138" s="19" t="s">
        <v>297</v>
      </c>
      <c r="J138" s="23">
        <v>7.413333333333334</v>
      </c>
      <c r="K138" s="44">
        <v>0.32883633213702734</v>
      </c>
      <c r="L138" s="23">
        <v>12.833333333333334</v>
      </c>
      <c r="M138" s="44">
        <v>1.0408329997330665</v>
      </c>
      <c r="N138" s="25">
        <v>511.59999999999997</v>
      </c>
      <c r="O138" s="44">
        <v>24.630671935617183</v>
      </c>
      <c r="P138" s="25" t="s">
        <v>336</v>
      </c>
      <c r="Q138" s="42"/>
      <c r="R138" s="23">
        <v>1.6833545242635974</v>
      </c>
      <c r="S138" s="19">
        <v>4.5</v>
      </c>
      <c r="T138" s="30">
        <v>44537</v>
      </c>
      <c r="U138" s="31">
        <v>0.4513888888888889</v>
      </c>
      <c r="V138" s="14">
        <f t="shared" si="9"/>
        <v>7</v>
      </c>
    </row>
    <row r="139" spans="1:22" x14ac:dyDescent="0.35">
      <c r="A139" t="str">
        <f t="shared" si="5"/>
        <v>ESTUDIO SEGUIMIENTO DESEMPEÑO AMBIENTAL ACUICULTURA EN CHILE Y SU EFECTO EN LOS ECOSISTEMAS DE EMPLAZAMIENTO 2021-2022</v>
      </c>
      <c r="B139" t="str">
        <f t="shared" si="6"/>
        <v>Objetivo 1. Actividad 2. Muestreos y Analisis sedimentos</v>
      </c>
      <c r="C139" t="str">
        <f t="shared" si="7"/>
        <v>Gastón Vidal</v>
      </c>
      <c r="D139" t="str">
        <f t="shared" si="8"/>
        <v>INSTITUTO DE FOMENTO PESQUERO</v>
      </c>
      <c r="E139" s="15" t="s">
        <v>37</v>
      </c>
      <c r="F139" s="16" t="s">
        <v>287</v>
      </c>
      <c r="G139" s="17">
        <v>10</v>
      </c>
      <c r="H139" s="19" t="s">
        <v>298</v>
      </c>
      <c r="I139" s="19" t="s">
        <v>299</v>
      </c>
      <c r="J139" s="23">
        <v>7.38</v>
      </c>
      <c r="K139" s="44">
        <v>0.19974984355438191</v>
      </c>
      <c r="L139" s="23">
        <v>12.299999999999999</v>
      </c>
      <c r="M139" s="44">
        <v>0.72111025509279802</v>
      </c>
      <c r="N139" s="25">
        <v>478.76666666666665</v>
      </c>
      <c r="O139" s="44">
        <v>54.188774975388895</v>
      </c>
      <c r="P139" s="25">
        <v>45.259270394983218</v>
      </c>
      <c r="Q139" s="42">
        <v>25.14814342438423</v>
      </c>
      <c r="R139" s="23">
        <v>1.2900451515803031</v>
      </c>
      <c r="S139" s="19">
        <v>5</v>
      </c>
      <c r="T139" s="30">
        <v>44541</v>
      </c>
      <c r="U139" s="31">
        <v>0.4513888888888889</v>
      </c>
      <c r="V139" s="14">
        <f t="shared" si="9"/>
        <v>10</v>
      </c>
    </row>
    <row r="140" spans="1:22" x14ac:dyDescent="0.35">
      <c r="A140" t="str">
        <f t="shared" si="5"/>
        <v>ESTUDIO SEGUIMIENTO DESEMPEÑO AMBIENTAL ACUICULTURA EN CHILE Y SU EFECTO EN LOS ECOSISTEMAS DE EMPLAZAMIENTO 2021-2022</v>
      </c>
      <c r="B140" t="str">
        <f t="shared" si="6"/>
        <v>Objetivo 1. Actividad 2. Muestreos y Analisis sedimentos</v>
      </c>
      <c r="C140" t="str">
        <f t="shared" si="7"/>
        <v>Gastón Vidal</v>
      </c>
      <c r="D140" t="str">
        <f t="shared" si="8"/>
        <v>INSTITUTO DE FOMENTO PESQUERO</v>
      </c>
      <c r="E140" s="15" t="s">
        <v>37</v>
      </c>
      <c r="F140" s="16" t="s">
        <v>287</v>
      </c>
      <c r="G140" s="17">
        <v>11</v>
      </c>
      <c r="H140" s="19" t="s">
        <v>300</v>
      </c>
      <c r="I140" s="19" t="s">
        <v>301</v>
      </c>
      <c r="J140" s="23" t="s">
        <v>336</v>
      </c>
      <c r="K140" s="42"/>
      <c r="L140" s="25" t="s">
        <v>336</v>
      </c>
      <c r="M140" s="42"/>
      <c r="N140" s="25" t="s">
        <v>336</v>
      </c>
      <c r="O140" s="42"/>
      <c r="P140" s="25" t="s">
        <v>336</v>
      </c>
      <c r="Q140" s="42"/>
      <c r="R140" s="23" t="s">
        <v>336</v>
      </c>
      <c r="S140" s="27" t="s">
        <v>336</v>
      </c>
      <c r="T140" s="27" t="s">
        <v>336</v>
      </c>
      <c r="U140" s="27" t="s">
        <v>336</v>
      </c>
      <c r="V140" s="14">
        <f t="shared" si="9"/>
        <v>11</v>
      </c>
    </row>
    <row r="141" spans="1:22" x14ac:dyDescent="0.35">
      <c r="A141" t="str">
        <f t="shared" si="5"/>
        <v>ESTUDIO SEGUIMIENTO DESEMPEÑO AMBIENTAL ACUICULTURA EN CHILE Y SU EFECTO EN LOS ECOSISTEMAS DE EMPLAZAMIENTO 2021-2022</v>
      </c>
      <c r="B141" t="str">
        <f t="shared" si="6"/>
        <v>Objetivo 1. Actividad 2. Muestreos y Analisis sedimentos</v>
      </c>
      <c r="C141" t="str">
        <f t="shared" si="7"/>
        <v>Gastón Vidal</v>
      </c>
      <c r="D141" t="str">
        <f t="shared" si="8"/>
        <v>INSTITUTO DE FOMENTO PESQUERO</v>
      </c>
      <c r="E141" s="15" t="s">
        <v>37</v>
      </c>
      <c r="F141" s="16" t="s">
        <v>287</v>
      </c>
      <c r="G141" s="17">
        <v>13</v>
      </c>
      <c r="H141" s="19" t="s">
        <v>302</v>
      </c>
      <c r="I141" s="19" t="s">
        <v>303</v>
      </c>
      <c r="J141" s="23">
        <v>7.2266666666666666</v>
      </c>
      <c r="K141" s="44">
        <v>9.5043849529221888E-2</v>
      </c>
      <c r="L141" s="23">
        <v>11.566666666666668</v>
      </c>
      <c r="M141" s="44">
        <v>0.47258156262526085</v>
      </c>
      <c r="N141" s="25">
        <v>302.23333333333329</v>
      </c>
      <c r="O141" s="44">
        <v>12.178806728630386</v>
      </c>
      <c r="P141" s="25">
        <v>12.949659383134701</v>
      </c>
      <c r="Q141" s="42">
        <v>4.2178980291834209</v>
      </c>
      <c r="R141" s="23">
        <v>3.2505198642880018</v>
      </c>
      <c r="S141" s="19">
        <v>3.5</v>
      </c>
      <c r="T141" s="30">
        <v>44542</v>
      </c>
      <c r="U141" s="31">
        <v>0.69097222222222221</v>
      </c>
      <c r="V141" s="14">
        <f t="shared" si="9"/>
        <v>13</v>
      </c>
    </row>
    <row r="142" spans="1:22" x14ac:dyDescent="0.35">
      <c r="A142" t="str">
        <f t="shared" si="5"/>
        <v>ESTUDIO SEGUIMIENTO DESEMPEÑO AMBIENTAL ACUICULTURA EN CHILE Y SU EFECTO EN LOS ECOSISTEMAS DE EMPLAZAMIENTO 2021-2022</v>
      </c>
      <c r="B142" t="str">
        <f t="shared" si="6"/>
        <v>Objetivo 1. Actividad 2. Muestreos y Analisis sedimentos</v>
      </c>
      <c r="C142" t="str">
        <f t="shared" si="7"/>
        <v>Gastón Vidal</v>
      </c>
      <c r="D142" t="str">
        <f t="shared" si="8"/>
        <v>INSTITUTO DE FOMENTO PESQUERO</v>
      </c>
      <c r="E142" s="15" t="s">
        <v>37</v>
      </c>
      <c r="F142" s="16" t="s">
        <v>287</v>
      </c>
      <c r="G142" s="17">
        <v>18</v>
      </c>
      <c r="H142" s="19" t="s">
        <v>304</v>
      </c>
      <c r="I142" s="19" t="s">
        <v>305</v>
      </c>
      <c r="J142" s="23">
        <v>7.2166666666666659</v>
      </c>
      <c r="K142" s="44">
        <v>7.5055534994651521E-2</v>
      </c>
      <c r="L142" s="23">
        <v>11.633333333333333</v>
      </c>
      <c r="M142" s="44">
        <v>0.49328828623162402</v>
      </c>
      <c r="N142" s="25">
        <v>268.56666666666666</v>
      </c>
      <c r="O142" s="44">
        <v>15.742405576446485</v>
      </c>
      <c r="P142" s="25">
        <v>0.05</v>
      </c>
      <c r="Q142" s="42"/>
      <c r="R142" s="23">
        <v>1.6826511952217491</v>
      </c>
      <c r="S142" s="19">
        <v>0</v>
      </c>
      <c r="T142" s="30">
        <v>44542</v>
      </c>
      <c r="U142" s="31">
        <v>0.73263888888888884</v>
      </c>
      <c r="V142" s="14">
        <f t="shared" si="9"/>
        <v>18</v>
      </c>
    </row>
    <row r="143" spans="1:22" x14ac:dyDescent="0.35">
      <c r="A143" t="str">
        <f t="shared" si="5"/>
        <v>ESTUDIO SEGUIMIENTO DESEMPEÑO AMBIENTAL ACUICULTURA EN CHILE Y SU EFECTO EN LOS ECOSISTEMAS DE EMPLAZAMIENTO 2021-2022</v>
      </c>
      <c r="B143" t="str">
        <f t="shared" si="6"/>
        <v>Objetivo 1. Actividad 2. Muestreos y Analisis sedimentos</v>
      </c>
      <c r="C143" t="str">
        <f t="shared" si="7"/>
        <v>Gastón Vidal</v>
      </c>
      <c r="D143" t="str">
        <f t="shared" si="8"/>
        <v>INSTITUTO DE FOMENTO PESQUERO</v>
      </c>
      <c r="E143" s="15" t="s">
        <v>37</v>
      </c>
      <c r="F143" s="16" t="s">
        <v>287</v>
      </c>
      <c r="G143" s="17">
        <v>19</v>
      </c>
      <c r="H143" s="19" t="s">
        <v>306</v>
      </c>
      <c r="I143" s="19" t="s">
        <v>307</v>
      </c>
      <c r="J143" s="23">
        <v>7.3233333333333333</v>
      </c>
      <c r="K143" s="44">
        <v>0.26407069760451174</v>
      </c>
      <c r="L143" s="23">
        <v>11.366666666666667</v>
      </c>
      <c r="M143" s="44">
        <v>0.47258156262526119</v>
      </c>
      <c r="N143" s="25">
        <v>588.30000000000007</v>
      </c>
      <c r="O143" s="44">
        <v>19.846410254753902</v>
      </c>
      <c r="P143" s="25">
        <v>0.05</v>
      </c>
      <c r="Q143" s="42"/>
      <c r="R143" s="23">
        <v>1.9887446811755265</v>
      </c>
      <c r="S143" s="19">
        <v>4</v>
      </c>
      <c r="T143" s="30">
        <v>44543</v>
      </c>
      <c r="U143" s="31">
        <v>0.3576388888888889</v>
      </c>
      <c r="V143" s="14">
        <f t="shared" si="9"/>
        <v>19</v>
      </c>
    </row>
    <row r="144" spans="1:22" x14ac:dyDescent="0.35">
      <c r="A144" t="str">
        <f t="shared" si="5"/>
        <v>ESTUDIO SEGUIMIENTO DESEMPEÑO AMBIENTAL ACUICULTURA EN CHILE Y SU EFECTO EN LOS ECOSISTEMAS DE EMPLAZAMIENTO 2021-2022</v>
      </c>
      <c r="B144" t="str">
        <f t="shared" si="6"/>
        <v>Objetivo 1. Actividad 2. Muestreos y Analisis sedimentos</v>
      </c>
      <c r="C144" t="str">
        <f t="shared" si="7"/>
        <v>Gastón Vidal</v>
      </c>
      <c r="D144" t="str">
        <f t="shared" si="8"/>
        <v>INSTITUTO DE FOMENTO PESQUERO</v>
      </c>
      <c r="E144" s="15" t="s">
        <v>37</v>
      </c>
      <c r="F144" s="16" t="s">
        <v>287</v>
      </c>
      <c r="G144" s="17">
        <v>24</v>
      </c>
      <c r="H144" s="19" t="s">
        <v>308</v>
      </c>
      <c r="I144" s="19" t="s">
        <v>309</v>
      </c>
      <c r="J144" s="23">
        <v>7.5233333333333334</v>
      </c>
      <c r="K144" s="44">
        <v>6.6583281184793536E-2</v>
      </c>
      <c r="L144" s="23">
        <v>13.133333333333333</v>
      </c>
      <c r="M144" s="44">
        <v>0.51316014394468834</v>
      </c>
      <c r="N144" s="25">
        <v>460.43333333333339</v>
      </c>
      <c r="O144" s="44">
        <v>54.030947921846895</v>
      </c>
      <c r="P144" s="25">
        <v>0.05</v>
      </c>
      <c r="Q144" s="42"/>
      <c r="R144" s="23">
        <v>1.1244483175442306</v>
      </c>
      <c r="S144" s="19">
        <v>5.5</v>
      </c>
      <c r="T144" s="30">
        <v>44543</v>
      </c>
      <c r="U144" s="31">
        <v>0.4375</v>
      </c>
      <c r="V144" s="14">
        <f t="shared" si="9"/>
        <v>24</v>
      </c>
    </row>
    <row r="145" spans="1:22" x14ac:dyDescent="0.35">
      <c r="A145" t="str">
        <f t="shared" si="5"/>
        <v>ESTUDIO SEGUIMIENTO DESEMPEÑO AMBIENTAL ACUICULTURA EN CHILE Y SU EFECTO EN LOS ECOSISTEMAS DE EMPLAZAMIENTO 2021-2022</v>
      </c>
      <c r="B145" t="str">
        <f t="shared" si="6"/>
        <v>Objetivo 1. Actividad 2. Muestreos y Analisis sedimentos</v>
      </c>
      <c r="C145" t="str">
        <f t="shared" si="7"/>
        <v>Gastón Vidal</v>
      </c>
      <c r="D145" t="str">
        <f t="shared" si="8"/>
        <v>INSTITUTO DE FOMENTO PESQUERO</v>
      </c>
      <c r="E145" s="15" t="s">
        <v>37</v>
      </c>
      <c r="F145" s="16" t="s">
        <v>287</v>
      </c>
      <c r="G145" s="17">
        <v>25</v>
      </c>
      <c r="H145" s="19" t="s">
        <v>310</v>
      </c>
      <c r="I145" s="19" t="s">
        <v>311</v>
      </c>
      <c r="J145" s="23">
        <v>7.6099999999999994</v>
      </c>
      <c r="K145" s="44">
        <v>0.14106735979665896</v>
      </c>
      <c r="L145" s="23">
        <v>12.5</v>
      </c>
      <c r="M145" s="44">
        <v>0.43588989435406744</v>
      </c>
      <c r="N145" s="25">
        <v>563.36666666666667</v>
      </c>
      <c r="O145" s="44">
        <v>338.06999768292565</v>
      </c>
      <c r="P145" s="25">
        <v>0.05</v>
      </c>
      <c r="Q145" s="42"/>
      <c r="R145" s="23">
        <v>0.95680519446242795</v>
      </c>
      <c r="S145" s="19">
        <v>6</v>
      </c>
      <c r="T145" s="30">
        <v>44543</v>
      </c>
      <c r="U145" s="31">
        <v>0.54166666666666663</v>
      </c>
      <c r="V145" s="14">
        <f t="shared" si="9"/>
        <v>25</v>
      </c>
    </row>
    <row r="146" spans="1:22" x14ac:dyDescent="0.35">
      <c r="A146" t="str">
        <f t="shared" ref="A146:A156" si="10">$B$1</f>
        <v>ESTUDIO SEGUIMIENTO DESEMPEÑO AMBIENTAL ACUICULTURA EN CHILE Y SU EFECTO EN LOS ECOSISTEMAS DE EMPLAZAMIENTO 2021-2022</v>
      </c>
      <c r="B146" t="str">
        <f t="shared" ref="B146:B156" si="11">$B$2</f>
        <v>Objetivo 1. Actividad 2. Muestreos y Analisis sedimentos</v>
      </c>
      <c r="C146" t="str">
        <f t="shared" ref="C146:C156" si="12">$B$3</f>
        <v>Gastón Vidal</v>
      </c>
      <c r="D146" t="str">
        <f t="shared" ref="D146:D156" si="13">$B$4</f>
        <v>INSTITUTO DE FOMENTO PESQUERO</v>
      </c>
      <c r="E146" s="15" t="s">
        <v>37</v>
      </c>
      <c r="F146" s="16" t="s">
        <v>287</v>
      </c>
      <c r="G146" s="17">
        <v>28</v>
      </c>
      <c r="H146" s="19" t="s">
        <v>312</v>
      </c>
      <c r="I146" s="19" t="s">
        <v>313</v>
      </c>
      <c r="J146" s="23">
        <v>7.68</v>
      </c>
      <c r="K146" s="44">
        <v>0.26888659319497521</v>
      </c>
      <c r="L146" s="23">
        <v>12.133333333333333</v>
      </c>
      <c r="M146" s="44">
        <v>5.7735026918962373E-2</v>
      </c>
      <c r="N146" s="25">
        <v>266.89999999999998</v>
      </c>
      <c r="O146" s="44">
        <v>16.893489870361293</v>
      </c>
      <c r="P146" s="25" t="s">
        <v>336</v>
      </c>
      <c r="Q146" s="42"/>
      <c r="R146" s="23">
        <v>0.65415111940299342</v>
      </c>
      <c r="S146" s="19">
        <v>6</v>
      </c>
      <c r="T146" s="30">
        <v>44543</v>
      </c>
      <c r="U146" s="31">
        <v>0.625</v>
      </c>
      <c r="V146" s="14">
        <f t="shared" ref="V146:V156" si="14">G146</f>
        <v>28</v>
      </c>
    </row>
    <row r="147" spans="1:22" x14ac:dyDescent="0.35">
      <c r="A147" t="str">
        <f t="shared" si="10"/>
        <v>ESTUDIO SEGUIMIENTO DESEMPEÑO AMBIENTAL ACUICULTURA EN CHILE Y SU EFECTO EN LOS ECOSISTEMAS DE EMPLAZAMIENTO 2021-2022</v>
      </c>
      <c r="B147" t="str">
        <f t="shared" si="11"/>
        <v>Objetivo 1. Actividad 2. Muestreos y Analisis sedimentos</v>
      </c>
      <c r="C147" t="str">
        <f t="shared" si="12"/>
        <v>Gastón Vidal</v>
      </c>
      <c r="D147" t="str">
        <f t="shared" si="13"/>
        <v>INSTITUTO DE FOMENTO PESQUERO</v>
      </c>
      <c r="E147" s="15" t="s">
        <v>37</v>
      </c>
      <c r="F147" s="16" t="s">
        <v>287</v>
      </c>
      <c r="G147" s="17">
        <v>30</v>
      </c>
      <c r="H147" s="19" t="s">
        <v>314</v>
      </c>
      <c r="I147" s="19" t="s">
        <v>315</v>
      </c>
      <c r="J147" s="23">
        <v>7.6966666666666663</v>
      </c>
      <c r="K147" s="44">
        <v>0.14189197769195144</v>
      </c>
      <c r="L147" s="23">
        <v>13.033333333333333</v>
      </c>
      <c r="M147" s="44">
        <v>0.11547005383792475</v>
      </c>
      <c r="N147" s="25">
        <v>302.2</v>
      </c>
      <c r="O147" s="44">
        <v>28.405633244129582</v>
      </c>
      <c r="P147" s="25">
        <v>32.307956008691214</v>
      </c>
      <c r="Q147" s="42">
        <v>3.5334690764698213</v>
      </c>
      <c r="R147" s="23">
        <v>0.75258434624560988</v>
      </c>
      <c r="S147" s="19">
        <v>3</v>
      </c>
      <c r="T147" s="30">
        <v>44543</v>
      </c>
      <c r="U147" s="31">
        <v>0.69791666666666663</v>
      </c>
      <c r="V147" s="14">
        <f t="shared" si="14"/>
        <v>30</v>
      </c>
    </row>
    <row r="148" spans="1:22" x14ac:dyDescent="0.35">
      <c r="A148" t="str">
        <f t="shared" si="10"/>
        <v>ESTUDIO SEGUIMIENTO DESEMPEÑO AMBIENTAL ACUICULTURA EN CHILE Y SU EFECTO EN LOS ECOSISTEMAS DE EMPLAZAMIENTO 2021-2022</v>
      </c>
      <c r="B148" t="str">
        <f t="shared" si="11"/>
        <v>Objetivo 1. Actividad 2. Muestreos y Analisis sedimentos</v>
      </c>
      <c r="C148" t="str">
        <f t="shared" si="12"/>
        <v>Gastón Vidal</v>
      </c>
      <c r="D148" t="str">
        <f t="shared" si="13"/>
        <v>INSTITUTO DE FOMENTO PESQUERO</v>
      </c>
      <c r="E148" s="15" t="s">
        <v>37</v>
      </c>
      <c r="F148" s="16" t="s">
        <v>287</v>
      </c>
      <c r="G148" s="21">
        <v>34</v>
      </c>
      <c r="H148" s="22" t="s">
        <v>316</v>
      </c>
      <c r="I148" s="22" t="s">
        <v>317</v>
      </c>
      <c r="J148" s="24">
        <v>7.293333333333333</v>
      </c>
      <c r="K148" s="45">
        <v>8.6216781042516996E-2</v>
      </c>
      <c r="L148" s="24">
        <v>13.333333333333334</v>
      </c>
      <c r="M148" s="45">
        <v>0.3785938897200179</v>
      </c>
      <c r="N148" s="26">
        <v>337.03333333333336</v>
      </c>
      <c r="O148" s="45">
        <v>54.9503715486372</v>
      </c>
      <c r="P148" s="26">
        <v>756.35982709588836</v>
      </c>
      <c r="Q148" s="45">
        <v>200.93808636145647</v>
      </c>
      <c r="R148" s="24">
        <v>1.2622310628775044</v>
      </c>
      <c r="S148" s="22">
        <v>4</v>
      </c>
      <c r="T148" s="32">
        <v>44544</v>
      </c>
      <c r="U148" s="33">
        <v>0.57777777777777783</v>
      </c>
      <c r="V148" s="14">
        <f t="shared" si="14"/>
        <v>34</v>
      </c>
    </row>
    <row r="149" spans="1:22" x14ac:dyDescent="0.35">
      <c r="A149" t="str">
        <f t="shared" si="10"/>
        <v>ESTUDIO SEGUIMIENTO DESEMPEÑO AMBIENTAL ACUICULTURA EN CHILE Y SU EFECTO EN LOS ECOSISTEMAS DE EMPLAZAMIENTO 2021-2022</v>
      </c>
      <c r="B149" t="str">
        <f t="shared" si="11"/>
        <v>Objetivo 1. Actividad 2. Muestreos y Analisis sedimentos</v>
      </c>
      <c r="C149" t="str">
        <f t="shared" si="12"/>
        <v>Gastón Vidal</v>
      </c>
      <c r="D149" t="str">
        <f t="shared" si="13"/>
        <v>INSTITUTO DE FOMENTO PESQUERO</v>
      </c>
      <c r="E149" s="15" t="s">
        <v>37</v>
      </c>
      <c r="F149" s="16" t="s">
        <v>318</v>
      </c>
      <c r="G149" s="17">
        <v>2</v>
      </c>
      <c r="H149" s="19" t="s">
        <v>319</v>
      </c>
      <c r="I149" s="19" t="s">
        <v>320</v>
      </c>
      <c r="J149" s="23">
        <v>7.2733333333333334</v>
      </c>
      <c r="K149" s="44">
        <v>5.7735026918966474E-3</v>
      </c>
      <c r="L149" s="23">
        <v>10.966666666666667</v>
      </c>
      <c r="M149" s="44">
        <v>0.64291005073286345</v>
      </c>
      <c r="N149" s="25">
        <v>139.79999999999998</v>
      </c>
      <c r="O149" s="44">
        <v>11.663189958154668</v>
      </c>
      <c r="P149" s="25">
        <v>392.82913815431203</v>
      </c>
      <c r="Q149" s="44">
        <v>131.36275408760142</v>
      </c>
      <c r="R149" s="23">
        <v>6.004191502680909</v>
      </c>
      <c r="S149" s="19">
        <v>3</v>
      </c>
      <c r="T149" s="30">
        <v>44607</v>
      </c>
      <c r="U149" s="31">
        <v>0.34375</v>
      </c>
      <c r="V149" s="14">
        <f t="shared" si="14"/>
        <v>2</v>
      </c>
    </row>
    <row r="150" spans="1:22" x14ac:dyDescent="0.35">
      <c r="A150" t="str">
        <f t="shared" si="10"/>
        <v>ESTUDIO SEGUIMIENTO DESEMPEÑO AMBIENTAL ACUICULTURA EN CHILE Y SU EFECTO EN LOS ECOSISTEMAS DE EMPLAZAMIENTO 2021-2022</v>
      </c>
      <c r="B150" t="str">
        <f t="shared" si="11"/>
        <v>Objetivo 1. Actividad 2. Muestreos y Analisis sedimentos</v>
      </c>
      <c r="C150" t="str">
        <f t="shared" si="12"/>
        <v>Gastón Vidal</v>
      </c>
      <c r="D150" t="str">
        <f t="shared" si="13"/>
        <v>INSTITUTO DE FOMENTO PESQUERO</v>
      </c>
      <c r="E150" s="15" t="s">
        <v>37</v>
      </c>
      <c r="F150" s="16" t="s">
        <v>318</v>
      </c>
      <c r="G150" s="17">
        <v>3</v>
      </c>
      <c r="H150" s="19" t="s">
        <v>321</v>
      </c>
      <c r="I150" s="19" t="s">
        <v>322</v>
      </c>
      <c r="J150" s="23">
        <v>7.46</v>
      </c>
      <c r="K150" s="44">
        <v>1.7320508075688915E-2</v>
      </c>
      <c r="L150" s="23">
        <v>11.699999999999998</v>
      </c>
      <c r="M150" s="44">
        <v>0.62449979983984027</v>
      </c>
      <c r="N150" s="25">
        <v>83.533333333333331</v>
      </c>
      <c r="O150" s="44">
        <v>13.70048660936293</v>
      </c>
      <c r="P150" s="25">
        <v>538.82176066276361</v>
      </c>
      <c r="Q150" s="44">
        <v>14.611941444503318</v>
      </c>
      <c r="R150" s="23">
        <v>12.96859719656633</v>
      </c>
      <c r="S150" s="19">
        <v>3.5</v>
      </c>
      <c r="T150" s="30">
        <v>44607</v>
      </c>
      <c r="U150" s="31">
        <v>0.38750000000000001</v>
      </c>
      <c r="V150" s="14">
        <f t="shared" si="14"/>
        <v>3</v>
      </c>
    </row>
    <row r="151" spans="1:22" x14ac:dyDescent="0.35">
      <c r="A151" t="str">
        <f t="shared" si="10"/>
        <v>ESTUDIO SEGUIMIENTO DESEMPEÑO AMBIENTAL ACUICULTURA EN CHILE Y SU EFECTO EN LOS ECOSISTEMAS DE EMPLAZAMIENTO 2021-2022</v>
      </c>
      <c r="B151" t="str">
        <f t="shared" si="11"/>
        <v>Objetivo 1. Actividad 2. Muestreos y Analisis sedimentos</v>
      </c>
      <c r="C151" t="str">
        <f t="shared" si="12"/>
        <v>Gastón Vidal</v>
      </c>
      <c r="D151" t="str">
        <f t="shared" si="13"/>
        <v>INSTITUTO DE FOMENTO PESQUERO</v>
      </c>
      <c r="E151" s="15" t="s">
        <v>37</v>
      </c>
      <c r="F151" s="16" t="s">
        <v>318</v>
      </c>
      <c r="G151" s="17">
        <v>5</v>
      </c>
      <c r="H151" s="19" t="s">
        <v>323</v>
      </c>
      <c r="I151" s="19" t="s">
        <v>324</v>
      </c>
      <c r="J151" s="23">
        <v>7.02</v>
      </c>
      <c r="K151" s="44">
        <v>2.0000000000000018E-2</v>
      </c>
      <c r="L151" s="23">
        <v>11.833333333333334</v>
      </c>
      <c r="M151" s="44">
        <v>0.25166114784235827</v>
      </c>
      <c r="N151" s="25">
        <v>141.16666666666666</v>
      </c>
      <c r="O151" s="44">
        <v>16.541261539959187</v>
      </c>
      <c r="P151" s="25">
        <v>271.98429529122745</v>
      </c>
      <c r="Q151" s="44">
        <v>73.423266875609087</v>
      </c>
      <c r="R151" s="23">
        <v>9.1984772095894733</v>
      </c>
      <c r="S151" s="19">
        <v>0</v>
      </c>
      <c r="T151" s="30">
        <v>44604</v>
      </c>
      <c r="U151" s="31">
        <v>0.88402777777777775</v>
      </c>
      <c r="V151" s="14">
        <f t="shared" si="14"/>
        <v>5</v>
      </c>
    </row>
    <row r="152" spans="1:22" x14ac:dyDescent="0.35">
      <c r="A152" t="str">
        <f t="shared" si="10"/>
        <v>ESTUDIO SEGUIMIENTO DESEMPEÑO AMBIENTAL ACUICULTURA EN CHILE Y SU EFECTO EN LOS ECOSISTEMAS DE EMPLAZAMIENTO 2021-2022</v>
      </c>
      <c r="B152" t="str">
        <f t="shared" si="11"/>
        <v>Objetivo 1. Actividad 2. Muestreos y Analisis sedimentos</v>
      </c>
      <c r="C152" t="str">
        <f t="shared" si="12"/>
        <v>Gastón Vidal</v>
      </c>
      <c r="D152" t="str">
        <f t="shared" si="13"/>
        <v>INSTITUTO DE FOMENTO PESQUERO</v>
      </c>
      <c r="E152" s="15" t="s">
        <v>37</v>
      </c>
      <c r="F152" s="16" t="s">
        <v>318</v>
      </c>
      <c r="G152" s="17">
        <v>9</v>
      </c>
      <c r="H152" s="19" t="s">
        <v>325</v>
      </c>
      <c r="I152" s="19" t="s">
        <v>326</v>
      </c>
      <c r="J152" s="23">
        <v>7.5333333333333341</v>
      </c>
      <c r="K152" s="44">
        <v>5.033222956847147E-2</v>
      </c>
      <c r="L152" s="23">
        <v>12.333333333333334</v>
      </c>
      <c r="M152" s="44">
        <v>5.7735026918962373E-2</v>
      </c>
      <c r="N152" s="25">
        <v>541.80000000000007</v>
      </c>
      <c r="O152" s="44">
        <v>63.103803371904576</v>
      </c>
      <c r="P152" s="25">
        <v>404.69417902406434</v>
      </c>
      <c r="Q152" s="44">
        <v>23.144380466546455</v>
      </c>
      <c r="R152" s="23">
        <v>3.5657759985103397</v>
      </c>
      <c r="S152" s="19">
        <v>5</v>
      </c>
      <c r="T152" s="30">
        <v>44606</v>
      </c>
      <c r="U152" s="31">
        <v>0.71180555555555547</v>
      </c>
      <c r="V152" s="14">
        <f t="shared" si="14"/>
        <v>9</v>
      </c>
    </row>
    <row r="153" spans="1:22" x14ac:dyDescent="0.35">
      <c r="A153" t="str">
        <f t="shared" si="10"/>
        <v>ESTUDIO SEGUIMIENTO DESEMPEÑO AMBIENTAL ACUICULTURA EN CHILE Y SU EFECTO EN LOS ECOSISTEMAS DE EMPLAZAMIENTO 2021-2022</v>
      </c>
      <c r="B153" t="str">
        <f t="shared" si="11"/>
        <v>Objetivo 1. Actividad 2. Muestreos y Analisis sedimentos</v>
      </c>
      <c r="C153" t="str">
        <f t="shared" si="12"/>
        <v>Gastón Vidal</v>
      </c>
      <c r="D153" t="str">
        <f t="shared" si="13"/>
        <v>INSTITUTO DE FOMENTO PESQUERO</v>
      </c>
      <c r="E153" s="15" t="s">
        <v>37</v>
      </c>
      <c r="F153" s="16" t="s">
        <v>318</v>
      </c>
      <c r="G153" s="17">
        <v>10</v>
      </c>
      <c r="H153" s="19" t="s">
        <v>327</v>
      </c>
      <c r="I153" s="19" t="s">
        <v>328</v>
      </c>
      <c r="J153" s="23">
        <v>6.8900000000000006</v>
      </c>
      <c r="K153" s="44">
        <v>3.6055512754639613E-2</v>
      </c>
      <c r="L153" s="23">
        <v>11.299999999999999</v>
      </c>
      <c r="M153" s="44">
        <v>0.17320508075688812</v>
      </c>
      <c r="N153" s="25">
        <v>320.46666666666664</v>
      </c>
      <c r="O153" s="44">
        <v>50.971004829543382</v>
      </c>
      <c r="P153" s="25">
        <v>265.4693090288236</v>
      </c>
      <c r="Q153" s="44">
        <v>32.574189091332691</v>
      </c>
      <c r="R153" s="23">
        <v>2.4814885739818706</v>
      </c>
      <c r="S153" s="19">
        <v>6</v>
      </c>
      <c r="T153" s="30">
        <v>44605</v>
      </c>
      <c r="U153" s="31">
        <v>0.53472222222222221</v>
      </c>
      <c r="V153" s="14">
        <f t="shared" si="14"/>
        <v>10</v>
      </c>
    </row>
    <row r="154" spans="1:22" x14ac:dyDescent="0.35">
      <c r="A154" t="str">
        <f t="shared" si="10"/>
        <v>ESTUDIO SEGUIMIENTO DESEMPEÑO AMBIENTAL ACUICULTURA EN CHILE Y SU EFECTO EN LOS ECOSISTEMAS DE EMPLAZAMIENTO 2021-2022</v>
      </c>
      <c r="B154" t="str">
        <f t="shared" si="11"/>
        <v>Objetivo 1. Actividad 2. Muestreos y Analisis sedimentos</v>
      </c>
      <c r="C154" t="str">
        <f t="shared" si="12"/>
        <v>Gastón Vidal</v>
      </c>
      <c r="D154" t="str">
        <f t="shared" si="13"/>
        <v>INSTITUTO DE FOMENTO PESQUERO</v>
      </c>
      <c r="E154" s="15" t="s">
        <v>37</v>
      </c>
      <c r="F154" s="16" t="s">
        <v>318</v>
      </c>
      <c r="G154" s="17">
        <v>11</v>
      </c>
      <c r="H154" s="19" t="s">
        <v>329</v>
      </c>
      <c r="I154" s="19" t="s">
        <v>330</v>
      </c>
      <c r="J154" s="23">
        <v>7.6566666666666663</v>
      </c>
      <c r="K154" s="44">
        <v>1.5275252316519626E-2</v>
      </c>
      <c r="L154" s="23">
        <v>10.566666666666668</v>
      </c>
      <c r="M154" s="44">
        <v>0.20816659994661355</v>
      </c>
      <c r="N154" s="25">
        <v>100.93333333333332</v>
      </c>
      <c r="O154" s="44">
        <v>19.306561924209536</v>
      </c>
      <c r="P154" s="25">
        <v>646.63288319244668</v>
      </c>
      <c r="Q154" s="44">
        <v>48.511813887917512</v>
      </c>
      <c r="R154" s="23">
        <v>5.9627703022226033</v>
      </c>
      <c r="S154" s="19">
        <v>6</v>
      </c>
      <c r="T154" s="30">
        <v>44605</v>
      </c>
      <c r="U154" s="31">
        <v>0.67361111111111116</v>
      </c>
      <c r="V154" s="14">
        <f t="shared" si="14"/>
        <v>11</v>
      </c>
    </row>
    <row r="155" spans="1:22" x14ac:dyDescent="0.35">
      <c r="A155" t="str">
        <f t="shared" si="10"/>
        <v>ESTUDIO SEGUIMIENTO DESEMPEÑO AMBIENTAL ACUICULTURA EN CHILE Y SU EFECTO EN LOS ECOSISTEMAS DE EMPLAZAMIENTO 2021-2022</v>
      </c>
      <c r="B155" t="str">
        <f t="shared" si="11"/>
        <v>Objetivo 1. Actividad 2. Muestreos y Analisis sedimentos</v>
      </c>
      <c r="C155" t="str">
        <f t="shared" si="12"/>
        <v>Gastón Vidal</v>
      </c>
      <c r="D155" t="str">
        <f t="shared" si="13"/>
        <v>INSTITUTO DE FOMENTO PESQUERO</v>
      </c>
      <c r="E155" s="15" t="s">
        <v>37</v>
      </c>
      <c r="F155" s="16" t="s">
        <v>318</v>
      </c>
      <c r="G155" s="17">
        <v>13</v>
      </c>
      <c r="H155" s="19" t="s">
        <v>331</v>
      </c>
      <c r="I155" s="19" t="s">
        <v>332</v>
      </c>
      <c r="J155" s="23">
        <v>7.06</v>
      </c>
      <c r="K155" s="44">
        <v>5.0000000000000266E-2</v>
      </c>
      <c r="L155" s="23">
        <v>13.033333333333333</v>
      </c>
      <c r="M155" s="44">
        <v>0.72341781380702397</v>
      </c>
      <c r="N155" s="25">
        <v>381.76666666666665</v>
      </c>
      <c r="O155" s="44">
        <v>23.857144282862809</v>
      </c>
      <c r="P155" s="25">
        <v>233.73340211731792</v>
      </c>
      <c r="Q155" s="44">
        <v>7.0386818870801751</v>
      </c>
      <c r="R155" s="23">
        <v>7.4178898176792085</v>
      </c>
      <c r="S155" s="19">
        <v>9</v>
      </c>
      <c r="T155" s="30">
        <v>44605</v>
      </c>
      <c r="U155" s="31">
        <v>0.73749999999999993</v>
      </c>
      <c r="V155" s="14">
        <f t="shared" si="14"/>
        <v>13</v>
      </c>
    </row>
    <row r="156" spans="1:22" x14ac:dyDescent="0.35">
      <c r="A156" t="str">
        <f t="shared" si="10"/>
        <v>ESTUDIO SEGUIMIENTO DESEMPEÑO AMBIENTAL ACUICULTURA EN CHILE Y SU EFECTO EN LOS ECOSISTEMAS DE EMPLAZAMIENTO 2021-2022</v>
      </c>
      <c r="B156" t="str">
        <f t="shared" si="11"/>
        <v>Objetivo 1. Actividad 2. Muestreos y Analisis sedimentos</v>
      </c>
      <c r="C156" t="str">
        <f t="shared" si="12"/>
        <v>Gastón Vidal</v>
      </c>
      <c r="D156" t="str">
        <f t="shared" si="13"/>
        <v>INSTITUTO DE FOMENTO PESQUERO</v>
      </c>
      <c r="E156" s="15" t="s">
        <v>37</v>
      </c>
      <c r="F156" s="16" t="s">
        <v>318</v>
      </c>
      <c r="G156" s="17">
        <v>14</v>
      </c>
      <c r="H156" s="19" t="s">
        <v>333</v>
      </c>
      <c r="I156" s="19" t="s">
        <v>334</v>
      </c>
      <c r="J156" s="23">
        <v>7.22</v>
      </c>
      <c r="K156" s="44">
        <v>2.0000000000000018E-2</v>
      </c>
      <c r="L156" s="23">
        <v>11.1</v>
      </c>
      <c r="M156" s="44">
        <v>0.36055512754639862</v>
      </c>
      <c r="N156" s="25">
        <v>143.36666666666665</v>
      </c>
      <c r="O156" s="44">
        <v>35.738541287150092</v>
      </c>
      <c r="P156" s="25">
        <v>338.72422061450379</v>
      </c>
      <c r="Q156" s="44">
        <v>50.663233576239904</v>
      </c>
      <c r="R156" s="23">
        <v>9.9654398403819471</v>
      </c>
      <c r="S156" s="19">
        <v>0</v>
      </c>
      <c r="T156" s="30">
        <v>44604</v>
      </c>
      <c r="U156" s="31">
        <v>0.99652777777777779</v>
      </c>
      <c r="V156" s="14">
        <f t="shared" si="14"/>
        <v>14</v>
      </c>
    </row>
    <row r="157" spans="1:22" x14ac:dyDescent="0.35">
      <c r="E157" s="15"/>
      <c r="F157" s="16"/>
      <c r="G157" s="17"/>
      <c r="H157" s="19"/>
      <c r="I157" s="19"/>
      <c r="V157" s="14"/>
    </row>
    <row r="158" spans="1:22" x14ac:dyDescent="0.35">
      <c r="E158" s="15"/>
      <c r="F158" s="16"/>
      <c r="G158" s="17"/>
      <c r="H158" s="19"/>
      <c r="I158" s="19"/>
      <c r="V158" s="14"/>
    </row>
    <row r="159" spans="1:22" x14ac:dyDescent="0.35">
      <c r="E159" s="15"/>
      <c r="F159" s="16"/>
      <c r="G159" s="17"/>
      <c r="H159" s="19"/>
      <c r="I159" s="19"/>
      <c r="V159" s="14"/>
    </row>
    <row r="160" spans="1:22" x14ac:dyDescent="0.35">
      <c r="E160" s="15"/>
      <c r="F160" s="16"/>
      <c r="G160" s="17"/>
      <c r="H160" s="19"/>
      <c r="I160" s="19"/>
      <c r="V160" s="14"/>
    </row>
    <row r="161" spans="5:22" x14ac:dyDescent="0.35">
      <c r="E161" s="15"/>
      <c r="F161" s="16"/>
      <c r="G161" s="17"/>
      <c r="H161" s="19"/>
      <c r="I161" s="19"/>
      <c r="V161" s="14"/>
    </row>
    <row r="162" spans="5:22" x14ac:dyDescent="0.35">
      <c r="E162" s="15"/>
      <c r="F162" s="16"/>
      <c r="G162" s="17"/>
      <c r="H162" s="19"/>
      <c r="I162" s="19"/>
      <c r="V162" s="14"/>
    </row>
    <row r="163" spans="5:22" x14ac:dyDescent="0.35">
      <c r="E163" s="15"/>
      <c r="F163" s="16"/>
      <c r="G163" s="17"/>
      <c r="H163" s="19"/>
      <c r="I163" s="19"/>
      <c r="V163" s="14"/>
    </row>
    <row r="164" spans="5:22" x14ac:dyDescent="0.35">
      <c r="E164" s="15"/>
      <c r="F164" s="16"/>
      <c r="G164" s="17"/>
      <c r="H164" s="19"/>
      <c r="I164" s="19"/>
      <c r="V164" s="14"/>
    </row>
    <row r="165" spans="5:22" x14ac:dyDescent="0.35">
      <c r="E165" s="15"/>
      <c r="F165" s="16"/>
      <c r="G165" s="17"/>
      <c r="H165" s="19"/>
      <c r="I165" s="19"/>
      <c r="V165" s="14"/>
    </row>
    <row r="166" spans="5:22" x14ac:dyDescent="0.35">
      <c r="E166" s="15"/>
      <c r="F166" s="16"/>
      <c r="G166" s="17"/>
      <c r="H166" s="19"/>
      <c r="I166" s="19"/>
      <c r="V166" s="14"/>
    </row>
    <row r="167" spans="5:22" x14ac:dyDescent="0.35">
      <c r="E167" s="15"/>
      <c r="F167" s="16"/>
      <c r="G167" s="17"/>
      <c r="H167" s="19"/>
      <c r="I167" s="19"/>
      <c r="V167" s="14"/>
    </row>
    <row r="168" spans="5:22" x14ac:dyDescent="0.35">
      <c r="E168" s="15"/>
      <c r="F168" s="16"/>
      <c r="G168" s="17"/>
      <c r="H168" s="19"/>
      <c r="I168" s="19"/>
      <c r="V168" s="14"/>
    </row>
    <row r="169" spans="5:22" x14ac:dyDescent="0.35">
      <c r="E169" s="15"/>
      <c r="F169" s="16"/>
      <c r="G169" s="17"/>
      <c r="H169" s="19"/>
      <c r="I169" s="19"/>
      <c r="V169" s="14"/>
    </row>
    <row r="170" spans="5:22" x14ac:dyDescent="0.35">
      <c r="E170" s="15"/>
      <c r="F170" s="16"/>
      <c r="G170" s="17"/>
      <c r="H170" s="19"/>
      <c r="I170" s="19"/>
      <c r="V170" s="14"/>
    </row>
    <row r="171" spans="5:22" x14ac:dyDescent="0.35">
      <c r="E171" s="15"/>
      <c r="F171" s="16"/>
      <c r="G171" s="17"/>
      <c r="H171" s="19"/>
      <c r="I171" s="19"/>
      <c r="V171" s="14"/>
    </row>
    <row r="172" spans="5:22" x14ac:dyDescent="0.35">
      <c r="E172" s="15"/>
      <c r="F172" s="16"/>
      <c r="G172" s="17"/>
      <c r="H172" s="19"/>
      <c r="I172" s="19"/>
      <c r="V172" s="14"/>
    </row>
    <row r="173" spans="5:22" x14ac:dyDescent="0.35">
      <c r="E173" s="15"/>
      <c r="F173" s="16"/>
      <c r="G173" s="17"/>
      <c r="H173" s="19"/>
      <c r="I173" s="19"/>
      <c r="V173" s="14"/>
    </row>
    <row r="174" spans="5:22" x14ac:dyDescent="0.35">
      <c r="E174" s="15"/>
      <c r="F174" s="16"/>
      <c r="G174" s="17"/>
      <c r="H174" s="19"/>
      <c r="I174" s="19"/>
      <c r="V174" s="14"/>
    </row>
    <row r="175" spans="5:22" x14ac:dyDescent="0.35">
      <c r="E175" s="15"/>
      <c r="F175" s="16"/>
      <c r="G175" s="17"/>
      <c r="H175" s="19"/>
      <c r="I175" s="19"/>
      <c r="V175" s="14"/>
    </row>
    <row r="176" spans="5:22" x14ac:dyDescent="0.35">
      <c r="E176" s="15"/>
      <c r="F176" s="16"/>
      <c r="G176" s="17"/>
      <c r="H176" s="19"/>
      <c r="I176" s="19"/>
      <c r="V176" s="14"/>
    </row>
    <row r="177" spans="5:22" x14ac:dyDescent="0.35">
      <c r="E177" s="15"/>
      <c r="F177" s="16"/>
      <c r="G177" s="17"/>
      <c r="H177" s="19"/>
      <c r="I177" s="19"/>
      <c r="V177" s="14"/>
    </row>
    <row r="178" spans="5:22" x14ac:dyDescent="0.35">
      <c r="E178" s="15"/>
      <c r="F178" s="16"/>
      <c r="G178" s="17"/>
      <c r="H178" s="19"/>
      <c r="I178" s="19"/>
      <c r="V178" s="14"/>
    </row>
    <row r="179" spans="5:22" x14ac:dyDescent="0.35">
      <c r="E179" s="15"/>
      <c r="F179" s="16"/>
      <c r="G179" s="17"/>
      <c r="H179" s="19"/>
      <c r="I179" s="19"/>
      <c r="V179" s="14"/>
    </row>
    <row r="180" spans="5:22" x14ac:dyDescent="0.35">
      <c r="E180" s="15"/>
      <c r="F180" s="16"/>
      <c r="G180" s="17"/>
      <c r="H180" s="19"/>
      <c r="I180" s="19"/>
      <c r="V180" s="14"/>
    </row>
    <row r="181" spans="5:22" x14ac:dyDescent="0.35">
      <c r="E181" s="15"/>
      <c r="F181" s="16"/>
      <c r="G181" s="17"/>
      <c r="H181" s="19"/>
      <c r="I181" s="19"/>
      <c r="V181" s="14"/>
    </row>
    <row r="182" spans="5:22" x14ac:dyDescent="0.35">
      <c r="E182" s="15"/>
      <c r="F182" s="16"/>
      <c r="G182" s="17"/>
      <c r="H182" s="19"/>
      <c r="I182" s="19"/>
      <c r="V182" s="14"/>
    </row>
    <row r="183" spans="5:22" x14ac:dyDescent="0.35">
      <c r="E183" s="15"/>
      <c r="F183" s="16"/>
      <c r="G183" s="17"/>
      <c r="H183" s="19"/>
      <c r="I183" s="19"/>
      <c r="V183" s="14"/>
    </row>
    <row r="184" spans="5:22" x14ac:dyDescent="0.35">
      <c r="E184" s="15"/>
      <c r="F184" s="16"/>
      <c r="G184" s="17"/>
      <c r="H184" s="19"/>
      <c r="I184" s="19"/>
      <c r="V184" s="14"/>
    </row>
    <row r="185" spans="5:22" x14ac:dyDescent="0.35">
      <c r="E185" s="15"/>
      <c r="F185" s="16"/>
      <c r="G185" s="21"/>
      <c r="H185" s="22"/>
      <c r="I185" s="22"/>
      <c r="V185" s="14"/>
    </row>
    <row r="186" spans="5:22" x14ac:dyDescent="0.35">
      <c r="V186" s="14"/>
    </row>
    <row r="187" spans="5:22" x14ac:dyDescent="0.35">
      <c r="V187" s="14"/>
    </row>
    <row r="188" spans="5:22" x14ac:dyDescent="0.35">
      <c r="V188" s="14"/>
    </row>
    <row r="189" spans="5:22" x14ac:dyDescent="0.35">
      <c r="V189" s="14"/>
    </row>
  </sheetData>
  <conditionalFormatting sqref="H56:I73 H27:I44 S107">
    <cfRule type="containsText" dxfId="3" priority="15" stopIfTrue="1" operator="containsText" text="sd">
      <formula>NOT(ISERROR(SEARCH("sd",H27)))</formula>
    </cfRule>
  </conditionalFormatting>
  <conditionalFormatting sqref="H45:I48">
    <cfRule type="containsText" dxfId="2" priority="14" stopIfTrue="1" operator="containsText" text="sd">
      <formula>NOT(ISERROR(SEARCH("sd",H45)))</formula>
    </cfRule>
  </conditionalFormatting>
  <conditionalFormatting sqref="H49:I55">
    <cfRule type="containsText" dxfId="1" priority="13" stopIfTrue="1" operator="containsText" text="sd">
      <formula>NOT(ISERROR(SEARCH("sd",H49)))</formula>
    </cfRule>
  </conditionalFormatting>
  <conditionalFormatting sqref="H127:I148 H83:I125 H80:I81 H74:I78">
    <cfRule type="containsText" dxfId="0" priority="12" stopIfTrue="1" operator="containsText" text="sd">
      <formula>NOT(ISERROR(SEARCH("sd",H74)))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2026-01-13T12:43:12Z</dcterms:modified>
</cp:coreProperties>
</file>